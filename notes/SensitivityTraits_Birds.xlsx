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ev\eryn\envSens\notes\"/>
    </mc:Choice>
  </mc:AlternateContent>
  <xr:revisionPtr revIDLastSave="0" documentId="13_ncr:1_{4991F4A2-7F33-445F-98AB-CFD2F5B5C4A0}" xr6:coauthVersionLast="47" xr6:coauthVersionMax="47" xr10:uidLastSave="{00000000-0000-0000-0000-000000000000}"/>
  <bookViews>
    <workbookView xWindow="-103" yWindow="-103" windowWidth="16663" windowHeight="9772" activeTab="1" xr2:uid="{8254AB1E-5A4B-4BBA-84A2-E1EDCEC08EF2}"/>
  </bookViews>
  <sheets>
    <sheet name="Sensitivity_v1_original" sheetId="2" r:id="rId1"/>
    <sheet name="Sensitivity_v2_poolall" sheetId="5" r:id="rId2"/>
    <sheet name="Sensitivity_simple" sheetId="7" r:id="rId3"/>
    <sheet name="Habitat-IUCN" sheetId="3" r:id="rId4"/>
    <sheet name="Threat-IUCN" sheetId="4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7" l="1"/>
  <c r="I18" i="7" s="1"/>
  <c r="I17" i="7"/>
  <c r="H17" i="7"/>
  <c r="I15" i="7"/>
  <c r="I12" i="7"/>
  <c r="I8" i="7"/>
  <c r="I7" i="7"/>
  <c r="I6" i="7"/>
  <c r="I5" i="7"/>
  <c r="I4" i="7"/>
  <c r="I3" i="7"/>
  <c r="I2" i="7"/>
  <c r="I3" i="5"/>
  <c r="I4" i="5"/>
  <c r="I5" i="5"/>
  <c r="I6" i="5"/>
  <c r="I7" i="5"/>
  <c r="I8" i="5"/>
  <c r="I12" i="5"/>
  <c r="I15" i="5"/>
  <c r="I17" i="5"/>
  <c r="I18" i="5"/>
  <c r="I2" i="5"/>
  <c r="H18" i="5"/>
  <c r="H17" i="5"/>
</calcChain>
</file>

<file path=xl/sharedStrings.xml><?xml version="1.0" encoding="utf-8"?>
<sst xmlns="http://schemas.openxmlformats.org/spreadsheetml/2006/main" count="576" uniqueCount="227">
  <si>
    <t>Condition</t>
  </si>
  <si>
    <t>Scaled_score</t>
  </si>
  <si>
    <t>Migratory status</t>
  </si>
  <si>
    <t>Full migrant</t>
  </si>
  <si>
    <t>simpson index</t>
  </si>
  <si>
    <t>1 - simpson index</t>
  </si>
  <si>
    <t>Habitat breadth</t>
  </si>
  <si>
    <t>log(EOO)</t>
  </si>
  <si>
    <t>Generation length</t>
  </si>
  <si>
    <t>Adaptability</t>
  </si>
  <si>
    <t>Trait</t>
  </si>
  <si>
    <t>Definition</t>
  </si>
  <si>
    <t>Database source</t>
  </si>
  <si>
    <t>Justification</t>
  </si>
  <si>
    <t>Restricted range</t>
  </si>
  <si>
    <t>Species occupying a wide range of habitats in their native range are more likely to encounter suitable conditions elsewhere.</t>
  </si>
  <si>
    <t>Broad diets are associated with behavioural flexibility and environmental tolerance, which are strong predictors of establishment success.</t>
  </si>
  <si>
    <t>Long-distance migration correlates with higher threat levels due to dependence on multiple, spatially separated habitats, timing, and effort in migration.</t>
  </si>
  <si>
    <t>Range size (indicator)</t>
  </si>
  <si>
    <t>Species with large native ranges tend to have broader ecological tolerance and higher likelihood of introduction success. Conversely, small-ranged species are likely to have specialised habitat requirement and suffering small population size.</t>
  </si>
  <si>
    <t>Including a separate restricted-range indicator ensures that species with genuinely small distributions receive appropriate weighting—regardless of whether their limited range is due to naturally restricted geography or the result of historical habitat loss.</t>
  </si>
  <si>
    <t>Longevity is difficult to measure in the wild, and banding records may bias estimates. Generation length is a standardised, biologically meaningful metric that captures life-history pace and population resilience.</t>
  </si>
  <si>
    <t>Garnett et al. 2015</t>
  </si>
  <si>
    <t>Tobias &amp; Pigot 2019</t>
  </si>
  <si>
    <t>The diversity of major food types consumed (percentage).</t>
  </si>
  <si>
    <t>NA</t>
  </si>
  <si>
    <t>The number of major habitat used.</t>
  </si>
  <si>
    <t>inverted HB</t>
  </si>
  <si>
    <t>Diet diversity</t>
  </si>
  <si>
    <t>Extent of Occurrence (EOO)</t>
  </si>
  <si>
    <t>Breeding/resident range</t>
  </si>
  <si>
    <t>Global range size &lt; 50,000 km3</t>
  </si>
  <si>
    <t>Global range size &gt; 50,000 km2</t>
  </si>
  <si>
    <t>The average age of breeding parents in the current cohort</t>
  </si>
  <si>
    <t>ln(genlenth)</t>
  </si>
  <si>
    <t>Value</t>
  </si>
  <si>
    <t>1 - scaled value</t>
  </si>
  <si>
    <t>Species capable of utilise a non-trivial proportion of human-modified environments show reduced sensitivity to habitat disturbance and lower extinction risk.</t>
  </si>
  <si>
    <t>Index</t>
  </si>
  <si>
    <t>Climate</t>
  </si>
  <si>
    <t>Diet</t>
  </si>
  <si>
    <t>Habitat</t>
  </si>
  <si>
    <t>Usage of modified environment</t>
  </si>
  <si>
    <t>Constraints</t>
  </si>
  <si>
    <t>HabitatsLevel1</t>
  </si>
  <si>
    <t>HabitatsLevel2</t>
  </si>
  <si>
    <t>HabitatsLevel3</t>
  </si>
  <si>
    <t>Forest</t>
  </si>
  <si>
    <t>Boreal</t>
  </si>
  <si>
    <t>Subarctic</t>
  </si>
  <si>
    <t>Subantarctic</t>
  </si>
  <si>
    <t>Temperate</t>
  </si>
  <si>
    <t>Subtropical/Tropical Dry</t>
  </si>
  <si>
    <t>Subtropical/Tropical Moist Lowland</t>
  </si>
  <si>
    <t>Subtropical/Tropical Mangrove Vegetation Above High Tide Level</t>
  </si>
  <si>
    <t>Subtropical/Tropical Swamp</t>
  </si>
  <si>
    <t>Subtropical/Tropical Moist Montane</t>
  </si>
  <si>
    <t>Savanna</t>
  </si>
  <si>
    <t>Dry</t>
  </si>
  <si>
    <t>Moist</t>
  </si>
  <si>
    <t>Shrubland</t>
  </si>
  <si>
    <t>Subtropical/Tropical Moist</t>
  </si>
  <si>
    <t>Subtropical/Tropical High Altitude</t>
  </si>
  <si>
    <t>Mediterranean-type Shrubby Vegetation</t>
  </si>
  <si>
    <t>Grassland</t>
  </si>
  <si>
    <t>Tundra</t>
  </si>
  <si>
    <t>Subtropical/Tropical Seasonally Wet/Flooded</t>
  </si>
  <si>
    <t>Wetlands (Inland)</t>
  </si>
  <si>
    <t>Permanent Rivers/Streams/Creeks</t>
  </si>
  <si>
    <t>Seasonal/Intermittent Rivers/Streams/Creeks</t>
  </si>
  <si>
    <t>Shrub-dominated Wetlands</t>
  </si>
  <si>
    <t>Bogs, Marshes, Swamps, Fens, Peatlands</t>
  </si>
  <si>
    <t>Permanent Freshwater Lakes (&gt;8 ha)</t>
  </si>
  <si>
    <t>Seasonal/Intermittent Freshwater Lakes (&gt;8 ha)</t>
  </si>
  <si>
    <t>Permanent Freshwater Marshes/Pools (&lt;8 ha)</t>
  </si>
  <si>
    <t>Seasonal/Intermittent Freshwater Marshes/Pools (&lt;8 ha)</t>
  </si>
  <si>
    <t>Freshwater Springs and Oases</t>
  </si>
  <si>
    <t>Tundra Wetlands</t>
  </si>
  <si>
    <t>Alpine Wetlands</t>
  </si>
  <si>
    <t>Geothermal Wetlands</t>
  </si>
  <si>
    <t>Permanent Inland Deltas</t>
  </si>
  <si>
    <t>Permanent Saline/Brackish/Alkaline Lakes</t>
  </si>
  <si>
    <t>Seasonal Saline/Brackish/Alkaline Lakes and Flats</t>
  </si>
  <si>
    <t>Permanent Saline/Brackish/Alkaline Marshes/Pools</t>
  </si>
  <si>
    <t>Seasonal Saline/Brackish/Alkaline Marshes/Pools</t>
  </si>
  <si>
    <t>Karst &amp; Subterranean Hydrological Systems</t>
  </si>
  <si>
    <t>Rocky Areas</t>
  </si>
  <si>
    <t>Inland Cliffs, Mountain Peaks</t>
  </si>
  <si>
    <t>Caves &amp; Subterranean (Non-aquatic)</t>
  </si>
  <si>
    <t>Caves</t>
  </si>
  <si>
    <t>Other Subterranean Habitats</t>
  </si>
  <si>
    <t>Desert</t>
  </si>
  <si>
    <t>Hot</t>
  </si>
  <si>
    <t>Cold</t>
  </si>
  <si>
    <t>Marine Neritic</t>
  </si>
  <si>
    <t>Pelagic</t>
  </si>
  <si>
    <t>Subtidal Rock &amp; Rocky Reefs</t>
  </si>
  <si>
    <t>Subtidal Loose Rock/Pebble/Gravel</t>
  </si>
  <si>
    <t>Subtidal Sandy</t>
  </si>
  <si>
    <t>Subtidal Sandy-Mud</t>
  </si>
  <si>
    <t>Subtidal Muddy</t>
  </si>
  <si>
    <t>Macroalgal/Kelp</t>
  </si>
  <si>
    <t>Coral Reef</t>
  </si>
  <si>
    <t>Outer Reef Channel</t>
  </si>
  <si>
    <t>Back Slope</t>
  </si>
  <si>
    <t>Foreslope (Outer Reef Slope)</t>
  </si>
  <si>
    <t>Lagoon</t>
  </si>
  <si>
    <t>Inter-reef Soft Substrate</t>
  </si>
  <si>
    <t>Inter-reef Rubble Substrate</t>
  </si>
  <si>
    <t>Seagrass (Submerged)</t>
  </si>
  <si>
    <t>Estuaries</t>
  </si>
  <si>
    <t>Marine Oceanic</t>
  </si>
  <si>
    <t>Epipelagic (0–200 m)</t>
  </si>
  <si>
    <t>Mesopelagic (200–1,000 m)</t>
  </si>
  <si>
    <t>Bathypelagic (1,000–4,000 m)</t>
  </si>
  <si>
    <t>Abyssopelagic (4,000–6,000 m)</t>
  </si>
  <si>
    <t>Marine Deep Ocean Floor</t>
  </si>
  <si>
    <t>Continental Slope/Bathyl Zone</t>
  </si>
  <si>
    <t>Hard Substrate</t>
  </si>
  <si>
    <t>Soft Substrate</t>
  </si>
  <si>
    <t>Abyssal Plain</t>
  </si>
  <si>
    <t>Abyssal Mountains/Hills</t>
  </si>
  <si>
    <t>Hadal/Deep Sea Trench</t>
  </si>
  <si>
    <t>Seamount</t>
  </si>
  <si>
    <t>Deep Sea Vents (Rifts/Seeps)</t>
  </si>
  <si>
    <t>Marine Intertidal</t>
  </si>
  <si>
    <t>Rocky Shoreline</t>
  </si>
  <si>
    <t>Sandy Shoreline/Beaches</t>
  </si>
  <si>
    <t>Shingle/Pebble Shoreline</t>
  </si>
  <si>
    <t>Mud Shoreline &amp; Mudflats</t>
  </si>
  <si>
    <t>Salt Marshes</t>
  </si>
  <si>
    <t>Tidepools</t>
  </si>
  <si>
    <t>Mangrove Submerged Roots</t>
  </si>
  <si>
    <t>Marine Coastal/Supratidal</t>
  </si>
  <si>
    <t>Sea Cliffs &amp; Rocky Offshore Islands</t>
  </si>
  <si>
    <t>Coastal Caves/Karst</t>
  </si>
  <si>
    <t>Coastal Sand Dunes</t>
  </si>
  <si>
    <t>Coastal Brackish/Saline Lagoons</t>
  </si>
  <si>
    <t>Coastal Freshwater Lakes</t>
  </si>
  <si>
    <t>Artificial – Terrestrial</t>
  </si>
  <si>
    <t>Arable Land</t>
  </si>
  <si>
    <t>Pastureland</t>
  </si>
  <si>
    <t>Plantations</t>
  </si>
  <si>
    <t>Rural Gardens</t>
  </si>
  <si>
    <t>Urban Areas</t>
  </si>
  <si>
    <t>Degraded Former Forest</t>
  </si>
  <si>
    <t>Artificial – Aquatic</t>
  </si>
  <si>
    <t>Water Storage Areas (&gt;8 ha)</t>
  </si>
  <si>
    <t>Ponds (&lt;8 ha)</t>
  </si>
  <si>
    <t>Aquaculture Ponds</t>
  </si>
  <si>
    <t>Salt Exploitation Sites</t>
  </si>
  <si>
    <t>Excavations (Open)</t>
  </si>
  <si>
    <t>Wastewater Treatment Areas</t>
  </si>
  <si>
    <t>Irrigated Land</t>
  </si>
  <si>
    <t>Seasonally Flooded Agricultural Land</t>
  </si>
  <si>
    <t>Canals &amp; Drainage Channels</t>
  </si>
  <si>
    <t>Subterranean Hydrological Systems (Human-made)</t>
  </si>
  <si>
    <t>Marine Anthropogenic Structures</t>
  </si>
  <si>
    <t>Mariculture Cages</t>
  </si>
  <si>
    <t>Marine/Brackish-culture Ponds</t>
  </si>
  <si>
    <t>Introduced Vegetation</t>
  </si>
  <si>
    <t>Other</t>
  </si>
  <si>
    <t>Unknown</t>
  </si>
  <si>
    <t>Number</t>
  </si>
  <si>
    <t>Subtype</t>
  </si>
  <si>
    <t>Score</t>
  </si>
  <si>
    <t>Elevation</t>
  </si>
  <si>
    <t>Climate zones</t>
  </si>
  <si>
    <t>Extracted stern_dehoedt_2000_minor using records</t>
  </si>
  <si>
    <t>Habitat breadth - main types</t>
  </si>
  <si>
    <t>Habitat breadth - sub types</t>
  </si>
  <si>
    <t>Weight_index</t>
  </si>
  <si>
    <t>Weight_total</t>
  </si>
  <si>
    <t>Extracted dem-9s using records</t>
  </si>
  <si>
    <t>Record derived climate breadth</t>
  </si>
  <si>
    <t>Record derived elevation range 10% to 90% of its distribution</t>
  </si>
  <si>
    <t>log(elevation)</t>
  </si>
  <si>
    <t>BirdLife</t>
  </si>
  <si>
    <t>The number of habitat subtypes used.</t>
  </si>
  <si>
    <t>BirdLife/ IUCN</t>
  </si>
  <si>
    <t>Suitable = 3; Marginal = 1</t>
  </si>
  <si>
    <t>Suitable = 3; Marginal = 1; Resident = 1; Breeding = 0.5; Non-breeding = 0.5</t>
  </si>
  <si>
    <t>Altitudinal migrant</t>
  </si>
  <si>
    <t>Nomadic/Not a migrant/Unknown</t>
  </si>
  <si>
    <t xml:space="preserve">A substantial proportion of the global or regional population makes regular or seasonal cyclical movements beyond the breeding range, with predictable timing and destinations. </t>
  </si>
  <si>
    <t>Regularly/seasonally makes cyclical movements to higher/lower elevations with predictable timing and destinations.</t>
  </si>
  <si>
    <t>Moves in response to resources that are sporadic in time and distribution or anything not defined above.</t>
  </si>
  <si>
    <t>Raptor</t>
  </si>
  <si>
    <t>Count</t>
  </si>
  <si>
    <t>Family = owls, hawks, eagles, kites, falcons, caracaras</t>
  </si>
  <si>
    <t>Other families</t>
  </si>
  <si>
    <t>Raptors</t>
  </si>
  <si>
    <t>non-raptors</t>
  </si>
  <si>
    <t>Raptors are apex or near-apex predators with large home ranges and sensitivity to prey availability, and are also preferentially reported by observers.</t>
  </si>
  <si>
    <t>Scored the artificial habitat subtypes using a habitat lookup table that is based on the degree of degradation.
Non artificial habitat = 0; Native vegetation cover or aquatic system remain =1; Non native vegetation cover and man-made aquatic system = 2; Almost no vegetation cover = 3</t>
  </si>
  <si>
    <t>Artificial habitat breadth</t>
  </si>
  <si>
    <t>ln(score)</t>
  </si>
  <si>
    <t>Raw_score</t>
  </si>
  <si>
    <t>Otherwise</t>
  </si>
  <si>
    <t>Diet breadth</t>
  </si>
  <si>
    <t>Caculated Simpson diversity index across types and proportioins of diet</t>
  </si>
  <si>
    <t>Caculated Simpson diversity index across types and proportioins of habitat use</t>
  </si>
  <si>
    <t>Range size</t>
  </si>
  <si>
    <t>Scaled using scale_aubird_minmax() on the log transformed Extent of Occurrance</t>
  </si>
  <si>
    <t>1 - scaled_value</t>
  </si>
  <si>
    <t>Restricted Range</t>
  </si>
  <si>
    <t>Global range size &lt; 50,000 km2 (1)</t>
  </si>
  <si>
    <t>Global range size &gt; 50,000 km2 (0)</t>
  </si>
  <si>
    <t>Scaled using scale_aubird_minmax() on nature log transformed generation length</t>
  </si>
  <si>
    <t>ln(genlength)</t>
  </si>
  <si>
    <t>scaled_value</t>
  </si>
  <si>
    <t>(breedadapt + feedadapt) &gt; 2</t>
  </si>
  <si>
    <t>breedadapt &gt; 0</t>
  </si>
  <si>
    <t>feedadapt &gt; 0</t>
  </si>
  <si>
    <t>(breedadapt + feedadapt) == 0</t>
  </si>
  <si>
    <t>Generation Length</t>
  </si>
  <si>
    <t>Literature reference</t>
  </si>
  <si>
    <t>Bird et al. 2020</t>
  </si>
  <si>
    <t>BIRDBASE (Şekercioğlu et al. 2025)</t>
  </si>
  <si>
    <t>Olah et al. 2024</t>
  </si>
  <si>
    <t>Cassey et al. 2004; Blackburn, Cassey, and Lockwood 2009; Tobias and Pigot 2019; Bird et al. 2020</t>
  </si>
  <si>
    <t>Cassey et al. 2004; Blackburn, Cassey, and Lockwood 2009</t>
  </si>
  <si>
    <t>Partial migrant and Altitudinal/elevational migration</t>
  </si>
  <si>
    <t xml:space="preserve">Yearly, regular, seasonal (larger scale), and/or long-distance movement. </t>
  </si>
  <si>
    <t>Nomadic and non-migrant</t>
  </si>
  <si>
    <t>Partial and Altitudinal migrant</t>
  </si>
  <si>
    <t>Long-distance migrant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</si>
</sst>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22222"/>
      <name val="Aptos Narrow"/>
      <family val="2"/>
      <scheme val="minor"/>
    </font>
    <font>
      <b/>
      <sz val="11"/>
      <color rgb="FF22222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/>
    <xf numFmtId="0" fontId="1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C682-9163-4871-BD3A-6A5531D316E6}">
  <dimension ref="A1:N14"/>
  <sheetViews>
    <sheetView topLeftCell="B1" zoomScaleNormal="100" workbookViewId="0">
      <selection activeCell="C2" sqref="C2:C4"/>
    </sheetView>
  </sheetViews>
  <sheetFormatPr defaultRowHeight="14.6" x14ac:dyDescent="0.4"/>
  <cols>
    <col min="1" max="1" width="21.23046875" style="17" customWidth="1"/>
    <col min="2" max="2" width="33.921875" style="17" customWidth="1"/>
    <col min="3" max="3" width="19.15234375" style="17" bestFit="1" customWidth="1"/>
    <col min="4" max="4" width="21.53515625" style="17" customWidth="1"/>
    <col min="5" max="5" width="38.61328125" style="17" customWidth="1"/>
    <col min="6" max="6" width="14.69140625" style="4" customWidth="1"/>
    <col min="7" max="7" width="41.07421875" style="5" customWidth="1"/>
    <col min="8" max="8" width="17.4609375" style="6" customWidth="1"/>
    <col min="9" max="9" width="18.3828125" style="8" customWidth="1"/>
    <col min="10" max="10" width="37.3828125" style="5" customWidth="1"/>
    <col min="11" max="11" width="12.84375" style="9" customWidth="1"/>
    <col min="12" max="13" width="12.84375" style="3" customWidth="1"/>
    <col min="14" max="14" width="14.84375" style="1" customWidth="1"/>
  </cols>
  <sheetData>
    <row r="1" spans="1:14" s="14" customFormat="1" x14ac:dyDescent="0.4">
      <c r="A1" s="32" t="s">
        <v>10</v>
      </c>
      <c r="B1" s="32" t="s">
        <v>13</v>
      </c>
      <c r="C1" s="32" t="s">
        <v>12</v>
      </c>
      <c r="D1" s="32" t="s">
        <v>216</v>
      </c>
      <c r="E1" s="35" t="s">
        <v>0</v>
      </c>
      <c r="F1" s="36" t="s">
        <v>197</v>
      </c>
      <c r="G1" s="36" t="s">
        <v>1</v>
      </c>
      <c r="H1" s="19"/>
      <c r="I1" s="19"/>
      <c r="J1" s="19"/>
      <c r="K1" s="19"/>
      <c r="L1" s="19"/>
      <c r="M1" s="19"/>
      <c r="N1" s="19"/>
    </row>
    <row r="2" spans="1:14" ht="29.15" x14ac:dyDescent="0.4">
      <c r="A2" s="33" t="s">
        <v>2</v>
      </c>
      <c r="B2" s="33" t="s">
        <v>17</v>
      </c>
      <c r="C2" s="33" t="s">
        <v>218</v>
      </c>
      <c r="D2" s="33" t="s">
        <v>23</v>
      </c>
      <c r="E2" s="37" t="s">
        <v>223</v>
      </c>
      <c r="F2" s="38">
        <v>3</v>
      </c>
      <c r="G2" s="38">
        <v>1</v>
      </c>
      <c r="H2" s="20"/>
      <c r="I2" s="20"/>
      <c r="J2" s="20"/>
      <c r="K2" s="20"/>
      <c r="L2" s="20"/>
      <c r="M2" s="20"/>
      <c r="N2" s="20"/>
    </row>
    <row r="3" spans="1:14" ht="29.15" x14ac:dyDescent="0.4">
      <c r="A3" s="33"/>
      <c r="B3" s="33"/>
      <c r="C3" s="33"/>
      <c r="D3" s="33"/>
      <c r="E3" s="37" t="s">
        <v>222</v>
      </c>
      <c r="F3" s="38">
        <v>2</v>
      </c>
      <c r="G3" s="38">
        <v>0.67</v>
      </c>
      <c r="H3" s="22"/>
      <c r="I3" s="20"/>
      <c r="J3" s="21"/>
      <c r="K3" s="20"/>
      <c r="L3" s="20"/>
      <c r="M3" s="20"/>
      <c r="N3" s="20"/>
    </row>
    <row r="4" spans="1:14" x14ac:dyDescent="0.4">
      <c r="A4" s="33"/>
      <c r="B4" s="33"/>
      <c r="C4" s="33"/>
      <c r="D4" s="33"/>
      <c r="E4" s="37" t="s">
        <v>198</v>
      </c>
      <c r="F4" s="38">
        <v>1</v>
      </c>
      <c r="G4" s="38">
        <v>0.33</v>
      </c>
      <c r="H4" s="22"/>
      <c r="I4" s="20"/>
      <c r="K4" s="2"/>
      <c r="L4" s="2"/>
      <c r="M4" s="2"/>
      <c r="N4" s="2"/>
    </row>
    <row r="5" spans="1:14" ht="58.3" x14ac:dyDescent="0.4">
      <c r="A5" s="34" t="s">
        <v>199</v>
      </c>
      <c r="B5" s="34" t="s">
        <v>16</v>
      </c>
      <c r="C5" s="34" t="s">
        <v>218</v>
      </c>
      <c r="D5" s="34" t="s">
        <v>221</v>
      </c>
      <c r="E5" s="37" t="s">
        <v>200</v>
      </c>
      <c r="F5" s="38" t="s">
        <v>4</v>
      </c>
      <c r="G5" s="38" t="s">
        <v>5</v>
      </c>
      <c r="H5" s="22"/>
      <c r="I5" s="22"/>
      <c r="J5" s="21"/>
      <c r="K5" s="2"/>
      <c r="L5" s="2"/>
      <c r="M5" s="2"/>
      <c r="N5" s="2"/>
    </row>
    <row r="6" spans="1:14" ht="58.3" x14ac:dyDescent="0.4">
      <c r="A6" s="34" t="s">
        <v>6</v>
      </c>
      <c r="B6" s="34" t="s">
        <v>15</v>
      </c>
      <c r="C6" s="34" t="s">
        <v>218</v>
      </c>
      <c r="D6" s="34" t="s">
        <v>221</v>
      </c>
      <c r="E6" s="37" t="s">
        <v>201</v>
      </c>
      <c r="F6" s="38" t="s">
        <v>188</v>
      </c>
      <c r="G6" s="38" t="s">
        <v>27</v>
      </c>
      <c r="H6" s="22"/>
      <c r="I6" s="22"/>
      <c r="J6" s="21"/>
      <c r="K6" s="2"/>
      <c r="L6" s="2"/>
      <c r="M6" s="2"/>
      <c r="N6" s="2"/>
    </row>
    <row r="7" spans="1:14" ht="102" x14ac:dyDescent="0.4">
      <c r="A7" s="34" t="s">
        <v>202</v>
      </c>
      <c r="B7" s="34" t="s">
        <v>19</v>
      </c>
      <c r="C7" s="34" t="s">
        <v>177</v>
      </c>
      <c r="D7" s="34" t="s">
        <v>220</v>
      </c>
      <c r="E7" s="37" t="s">
        <v>203</v>
      </c>
      <c r="F7" s="38" t="s">
        <v>7</v>
      </c>
      <c r="G7" s="38" t="s">
        <v>204</v>
      </c>
      <c r="H7" s="22"/>
      <c r="I7" s="20"/>
      <c r="J7" s="21"/>
      <c r="K7" s="2"/>
      <c r="L7" s="2"/>
      <c r="M7" s="2"/>
      <c r="N7" s="2"/>
    </row>
    <row r="8" spans="1:14" x14ac:dyDescent="0.4">
      <c r="A8" s="33" t="s">
        <v>205</v>
      </c>
      <c r="B8" s="33" t="s">
        <v>20</v>
      </c>
      <c r="C8" s="33" t="s">
        <v>218</v>
      </c>
      <c r="D8" s="33" t="s">
        <v>220</v>
      </c>
      <c r="E8" s="37" t="s">
        <v>206</v>
      </c>
      <c r="F8" s="38">
        <v>0</v>
      </c>
      <c r="G8" s="38">
        <v>0</v>
      </c>
      <c r="H8" s="22"/>
      <c r="I8" s="20"/>
      <c r="J8" s="21"/>
      <c r="K8" s="2"/>
      <c r="L8" s="2"/>
      <c r="M8" s="2"/>
      <c r="N8" s="2"/>
    </row>
    <row r="9" spans="1:14" x14ac:dyDescent="0.4">
      <c r="A9" s="33"/>
      <c r="B9" s="33"/>
      <c r="C9" s="33"/>
      <c r="D9" s="33"/>
      <c r="E9" s="37" t="s">
        <v>207</v>
      </c>
      <c r="F9" s="38">
        <v>1</v>
      </c>
      <c r="G9" s="38">
        <v>1</v>
      </c>
      <c r="H9" s="20"/>
      <c r="I9" s="20"/>
      <c r="J9" s="21"/>
      <c r="K9" s="2"/>
      <c r="L9" s="2"/>
      <c r="M9" s="2"/>
      <c r="N9" s="2"/>
    </row>
    <row r="10" spans="1:14" ht="87.45" x14ac:dyDescent="0.4">
      <c r="A10" s="34" t="s">
        <v>215</v>
      </c>
      <c r="B10" s="34" t="s">
        <v>21</v>
      </c>
      <c r="C10" s="34" t="s">
        <v>177</v>
      </c>
      <c r="D10" s="34" t="s">
        <v>217</v>
      </c>
      <c r="E10" s="37" t="s">
        <v>208</v>
      </c>
      <c r="F10" s="38" t="s">
        <v>209</v>
      </c>
      <c r="G10" s="38" t="s">
        <v>210</v>
      </c>
      <c r="H10" s="20"/>
      <c r="I10" s="20"/>
      <c r="J10" s="21"/>
      <c r="K10" s="2"/>
      <c r="L10" s="2"/>
      <c r="M10" s="2"/>
      <c r="N10" s="2"/>
    </row>
    <row r="11" spans="1:14" x14ac:dyDescent="0.4">
      <c r="A11" s="33" t="s">
        <v>9</v>
      </c>
      <c r="B11" s="33" t="s">
        <v>37</v>
      </c>
      <c r="C11" s="33" t="s">
        <v>22</v>
      </c>
      <c r="D11" s="33" t="s">
        <v>219</v>
      </c>
      <c r="E11" s="37" t="s">
        <v>211</v>
      </c>
      <c r="F11" s="38">
        <v>0</v>
      </c>
      <c r="G11" s="38">
        <v>0</v>
      </c>
      <c r="H11" s="11"/>
    </row>
    <row r="12" spans="1:14" x14ac:dyDescent="0.4">
      <c r="A12" s="33"/>
      <c r="B12" s="33"/>
      <c r="C12" s="33"/>
      <c r="D12" s="33"/>
      <c r="E12" s="37" t="s">
        <v>212</v>
      </c>
      <c r="F12" s="38">
        <v>1</v>
      </c>
      <c r="G12" s="38">
        <v>0.33</v>
      </c>
      <c r="H12" s="11"/>
    </row>
    <row r="13" spans="1:14" x14ac:dyDescent="0.4">
      <c r="A13" s="33"/>
      <c r="B13" s="33"/>
      <c r="C13" s="33"/>
      <c r="D13" s="33"/>
      <c r="E13" s="37" t="s">
        <v>213</v>
      </c>
      <c r="F13" s="38">
        <v>2</v>
      </c>
      <c r="G13" s="38">
        <v>0.67</v>
      </c>
      <c r="H13" s="11"/>
    </row>
    <row r="14" spans="1:14" x14ac:dyDescent="0.4">
      <c r="A14" s="33"/>
      <c r="B14" s="33"/>
      <c r="C14" s="33"/>
      <c r="D14" s="33"/>
      <c r="E14" s="37" t="s">
        <v>214</v>
      </c>
      <c r="F14" s="38">
        <v>3</v>
      </c>
      <c r="G14" s="38">
        <v>1</v>
      </c>
      <c r="H14" s="11"/>
    </row>
  </sheetData>
  <mergeCells count="16">
    <mergeCell ref="A8:A9"/>
    <mergeCell ref="A11:A14"/>
    <mergeCell ref="B2:B4"/>
    <mergeCell ref="B8:B9"/>
    <mergeCell ref="B11:B14"/>
    <mergeCell ref="C8:C9"/>
    <mergeCell ref="C11:C14"/>
    <mergeCell ref="D2:D4"/>
    <mergeCell ref="H7:H8"/>
    <mergeCell ref="A2:A4"/>
    <mergeCell ref="C2:C4"/>
    <mergeCell ref="H3:H4"/>
    <mergeCell ref="H5:H6"/>
    <mergeCell ref="I5:I6"/>
    <mergeCell ref="D8:D9"/>
    <mergeCell ref="D11:D1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7E100-A8E7-4064-A03B-A50BC823AA83}">
  <dimension ref="A1:J19"/>
  <sheetViews>
    <sheetView tabSelected="1" topLeftCell="C11" zoomScaleNormal="100" workbookViewId="0">
      <selection activeCell="E12" sqref="E12"/>
    </sheetView>
  </sheetViews>
  <sheetFormatPr defaultRowHeight="14.6" x14ac:dyDescent="0.4"/>
  <cols>
    <col min="1" max="1" width="14.3046875" customWidth="1"/>
    <col min="2" max="2" width="27.765625" customWidth="1"/>
    <col min="3" max="3" width="31.765625" customWidth="1"/>
    <col min="4" max="4" width="28.53515625" customWidth="1"/>
    <col min="5" max="5" width="31.765625" bestFit="1" customWidth="1"/>
    <col min="6" max="6" width="28.53515625" customWidth="1"/>
    <col min="7" max="7" width="12.53515625" style="10" bestFit="1" customWidth="1"/>
    <col min="8" max="8" width="12.23046875" style="10" bestFit="1" customWidth="1"/>
    <col min="9" max="9" width="13.84375" style="18" customWidth="1"/>
    <col min="10" max="10" width="12" customWidth="1"/>
  </cols>
  <sheetData>
    <row r="1" spans="1:10" x14ac:dyDescent="0.4">
      <c r="A1" s="19" t="s">
        <v>38</v>
      </c>
      <c r="B1" s="19" t="s">
        <v>10</v>
      </c>
      <c r="C1" s="19" t="s">
        <v>13</v>
      </c>
      <c r="D1" s="19" t="s">
        <v>12</v>
      </c>
      <c r="E1" s="19" t="s">
        <v>0</v>
      </c>
      <c r="F1" s="19" t="s">
        <v>11</v>
      </c>
      <c r="G1" s="19" t="s">
        <v>35</v>
      </c>
      <c r="H1" s="19" t="s">
        <v>171</v>
      </c>
      <c r="I1" s="19" t="s">
        <v>172</v>
      </c>
      <c r="J1" s="19" t="s">
        <v>1</v>
      </c>
    </row>
    <row r="2" spans="1:10" ht="29.15" x14ac:dyDescent="0.4">
      <c r="A2" s="24" t="s">
        <v>39</v>
      </c>
      <c r="B2" s="25" t="s">
        <v>18</v>
      </c>
      <c r="C2" s="24" t="s">
        <v>19</v>
      </c>
      <c r="D2" s="25" t="s">
        <v>177</v>
      </c>
      <c r="E2" s="25" t="s">
        <v>29</v>
      </c>
      <c r="F2" s="25" t="s">
        <v>30</v>
      </c>
      <c r="G2" s="25" t="s">
        <v>7</v>
      </c>
      <c r="H2" s="25">
        <v>0.33</v>
      </c>
      <c r="I2" s="25">
        <f>H2/5</f>
        <v>6.6000000000000003E-2</v>
      </c>
      <c r="J2" s="25" t="s">
        <v>36</v>
      </c>
    </row>
    <row r="3" spans="1:10" ht="43.75" x14ac:dyDescent="0.4">
      <c r="A3" s="22"/>
      <c r="B3" s="20" t="s">
        <v>167</v>
      </c>
      <c r="C3" s="22"/>
      <c r="D3" s="20" t="s">
        <v>168</v>
      </c>
      <c r="E3" s="20" t="s">
        <v>25</v>
      </c>
      <c r="F3" s="20" t="s">
        <v>174</v>
      </c>
      <c r="G3" s="20" t="s">
        <v>4</v>
      </c>
      <c r="H3" s="20">
        <v>0.33</v>
      </c>
      <c r="I3" s="20">
        <f t="shared" ref="I3:I19" si="0">H3/5</f>
        <v>6.6000000000000003E-2</v>
      </c>
      <c r="J3" s="20" t="s">
        <v>5</v>
      </c>
    </row>
    <row r="4" spans="1:10" ht="29.15" x14ac:dyDescent="0.4">
      <c r="A4" s="26"/>
      <c r="B4" s="27" t="s">
        <v>166</v>
      </c>
      <c r="C4" s="26"/>
      <c r="D4" s="27" t="s">
        <v>173</v>
      </c>
      <c r="E4" s="27" t="s">
        <v>25</v>
      </c>
      <c r="F4" s="27" t="s">
        <v>175</v>
      </c>
      <c r="G4" s="27" t="s">
        <v>176</v>
      </c>
      <c r="H4" s="27">
        <v>0.33</v>
      </c>
      <c r="I4" s="27">
        <f t="shared" si="0"/>
        <v>6.6000000000000003E-2</v>
      </c>
      <c r="J4" s="27" t="s">
        <v>36</v>
      </c>
    </row>
    <row r="5" spans="1:10" ht="29.15" customHeight="1" x14ac:dyDescent="0.4">
      <c r="A5" s="22" t="s">
        <v>41</v>
      </c>
      <c r="B5" s="20" t="s">
        <v>169</v>
      </c>
      <c r="C5" s="22" t="s">
        <v>15</v>
      </c>
      <c r="D5" s="22" t="s">
        <v>179</v>
      </c>
      <c r="E5" s="20" t="s">
        <v>180</v>
      </c>
      <c r="F5" s="20" t="s">
        <v>26</v>
      </c>
      <c r="G5" s="20" t="s">
        <v>196</v>
      </c>
      <c r="H5" s="20">
        <v>0.6</v>
      </c>
      <c r="I5" s="20">
        <f t="shared" si="0"/>
        <v>0.12</v>
      </c>
      <c r="J5" s="20" t="s">
        <v>36</v>
      </c>
    </row>
    <row r="6" spans="1:10" ht="29.15" x14ac:dyDescent="0.4">
      <c r="A6" s="26"/>
      <c r="B6" s="27" t="s">
        <v>170</v>
      </c>
      <c r="C6" s="26"/>
      <c r="D6" s="26"/>
      <c r="E6" s="27" t="s">
        <v>181</v>
      </c>
      <c r="F6" s="28" t="s">
        <v>178</v>
      </c>
      <c r="G6" s="27" t="s">
        <v>196</v>
      </c>
      <c r="H6" s="27">
        <v>0.4</v>
      </c>
      <c r="I6" s="27">
        <f t="shared" si="0"/>
        <v>0.08</v>
      </c>
      <c r="J6" s="27" t="s">
        <v>36</v>
      </c>
    </row>
    <row r="7" spans="1:10" ht="72.900000000000006" x14ac:dyDescent="0.4">
      <c r="A7" s="29" t="s">
        <v>40</v>
      </c>
      <c r="B7" s="29" t="s">
        <v>28</v>
      </c>
      <c r="C7" s="29" t="s">
        <v>16</v>
      </c>
      <c r="D7" s="29" t="s">
        <v>23</v>
      </c>
      <c r="E7" s="29" t="s">
        <v>25</v>
      </c>
      <c r="F7" s="29" t="s">
        <v>24</v>
      </c>
      <c r="G7" s="29" t="s">
        <v>4</v>
      </c>
      <c r="H7" s="29">
        <v>1</v>
      </c>
      <c r="I7" s="29">
        <f t="shared" si="0"/>
        <v>0.2</v>
      </c>
      <c r="J7" s="29" t="s">
        <v>5</v>
      </c>
    </row>
    <row r="8" spans="1:10" x14ac:dyDescent="0.4">
      <c r="A8" s="24" t="s">
        <v>9</v>
      </c>
      <c r="B8" s="24" t="s">
        <v>42</v>
      </c>
      <c r="C8" s="24" t="s">
        <v>37</v>
      </c>
      <c r="D8" s="24" t="s">
        <v>179</v>
      </c>
      <c r="E8" s="24" t="s">
        <v>194</v>
      </c>
      <c r="F8" s="24" t="s">
        <v>195</v>
      </c>
      <c r="G8" s="24" t="s">
        <v>196</v>
      </c>
      <c r="H8" s="24">
        <v>1</v>
      </c>
      <c r="I8" s="24">
        <f t="shared" si="0"/>
        <v>0.2</v>
      </c>
      <c r="J8" s="24" t="s">
        <v>36</v>
      </c>
    </row>
    <row r="9" spans="1:10" x14ac:dyDescent="0.4">
      <c r="A9" s="22"/>
      <c r="B9" s="22"/>
      <c r="C9" s="22"/>
      <c r="D9" s="22"/>
      <c r="E9" s="22"/>
      <c r="F9" s="22"/>
      <c r="G9" s="22"/>
      <c r="H9" s="22"/>
      <c r="I9" s="22"/>
      <c r="J9" s="22"/>
    </row>
    <row r="10" spans="1:10" ht="29.15" customHeight="1" x14ac:dyDescent="0.4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ht="96.45" customHeight="1" x14ac:dyDescent="0.4">
      <c r="A11" s="26"/>
      <c r="B11" s="26"/>
      <c r="C11" s="26"/>
      <c r="D11" s="26"/>
      <c r="E11" s="26"/>
      <c r="F11" s="26"/>
      <c r="G11" s="26"/>
      <c r="H11" s="26"/>
      <c r="I11" s="26"/>
      <c r="J11" s="26"/>
    </row>
    <row r="12" spans="1:10" ht="43.75" x14ac:dyDescent="0.4">
      <c r="A12" s="24" t="s">
        <v>43</v>
      </c>
      <c r="B12" s="24" t="s">
        <v>2</v>
      </c>
      <c r="C12" s="24" t="s">
        <v>17</v>
      </c>
      <c r="D12" s="33" t="s">
        <v>218</v>
      </c>
      <c r="E12" s="23" t="s">
        <v>226</v>
      </c>
      <c r="F12" s="37" t="s">
        <v>223</v>
      </c>
      <c r="G12" s="25">
        <v>3</v>
      </c>
      <c r="H12" s="24">
        <v>0.33</v>
      </c>
      <c r="I12" s="24">
        <f t="shared" si="0"/>
        <v>6.6000000000000003E-2</v>
      </c>
      <c r="J12" s="24" t="s">
        <v>35</v>
      </c>
    </row>
    <row r="13" spans="1:10" ht="29.15" x14ac:dyDescent="0.4">
      <c r="A13" s="22"/>
      <c r="B13" s="22"/>
      <c r="C13" s="22"/>
      <c r="D13" s="33"/>
      <c r="E13" s="23" t="s">
        <v>225</v>
      </c>
      <c r="F13" s="37" t="s">
        <v>222</v>
      </c>
      <c r="G13" s="20">
        <v>2</v>
      </c>
      <c r="H13" s="22"/>
      <c r="I13" s="22"/>
      <c r="J13" s="22"/>
    </row>
    <row r="14" spans="1:10" x14ac:dyDescent="0.4">
      <c r="A14" s="22"/>
      <c r="B14" s="22"/>
      <c r="C14" s="22"/>
      <c r="D14" s="33"/>
      <c r="E14" s="23" t="s">
        <v>224</v>
      </c>
      <c r="F14" s="37" t="s">
        <v>198</v>
      </c>
      <c r="G14" s="20">
        <v>1</v>
      </c>
      <c r="H14" s="22"/>
      <c r="I14" s="22"/>
      <c r="J14" s="22"/>
    </row>
    <row r="15" spans="1:10" ht="48.45" customHeight="1" x14ac:dyDescent="0.4">
      <c r="A15" s="22"/>
      <c r="B15" s="22" t="s">
        <v>14</v>
      </c>
      <c r="C15" s="22" t="s">
        <v>20</v>
      </c>
      <c r="D15" s="22" t="s">
        <v>23</v>
      </c>
      <c r="E15" s="22" t="s">
        <v>25</v>
      </c>
      <c r="F15" s="20" t="s">
        <v>32</v>
      </c>
      <c r="G15" s="20">
        <v>0</v>
      </c>
      <c r="H15" s="22">
        <v>0.33</v>
      </c>
      <c r="I15" s="22">
        <f t="shared" si="0"/>
        <v>6.6000000000000003E-2</v>
      </c>
      <c r="J15" s="22" t="s">
        <v>35</v>
      </c>
    </row>
    <row r="16" spans="1:10" ht="54.9" customHeight="1" x14ac:dyDescent="0.4">
      <c r="A16" s="22"/>
      <c r="B16" s="22"/>
      <c r="C16" s="22"/>
      <c r="D16" s="22"/>
      <c r="E16" s="22"/>
      <c r="F16" s="20" t="s">
        <v>31</v>
      </c>
      <c r="G16" s="20">
        <v>1</v>
      </c>
      <c r="H16" s="22"/>
      <c r="I16" s="22"/>
      <c r="J16" s="22"/>
    </row>
    <row r="17" spans="1:10" ht="87.45" x14ac:dyDescent="0.4">
      <c r="A17" s="22"/>
      <c r="B17" s="20" t="s">
        <v>8</v>
      </c>
      <c r="C17" s="20" t="s">
        <v>21</v>
      </c>
      <c r="D17" s="20" t="s">
        <v>177</v>
      </c>
      <c r="E17" s="20" t="s">
        <v>25</v>
      </c>
      <c r="F17" s="20" t="s">
        <v>33</v>
      </c>
      <c r="G17" s="20" t="s">
        <v>34</v>
      </c>
      <c r="H17" s="20">
        <f>0.33/2</f>
        <v>0.16500000000000001</v>
      </c>
      <c r="I17" s="20">
        <f t="shared" si="0"/>
        <v>3.3000000000000002E-2</v>
      </c>
      <c r="J17" s="20" t="s">
        <v>35</v>
      </c>
    </row>
    <row r="18" spans="1:10" ht="39.9" customHeight="1" x14ac:dyDescent="0.4">
      <c r="A18" s="22"/>
      <c r="B18" s="22" t="s">
        <v>187</v>
      </c>
      <c r="C18" s="22" t="s">
        <v>193</v>
      </c>
      <c r="D18" s="22" t="s">
        <v>177</v>
      </c>
      <c r="E18" s="23" t="s">
        <v>191</v>
      </c>
      <c r="F18" s="7" t="s">
        <v>189</v>
      </c>
      <c r="G18" s="7">
        <v>1</v>
      </c>
      <c r="H18" s="22">
        <f>0.33/2</f>
        <v>0.16500000000000001</v>
      </c>
      <c r="I18" s="22">
        <f t="shared" si="0"/>
        <v>3.3000000000000002E-2</v>
      </c>
      <c r="J18" s="22" t="s">
        <v>35</v>
      </c>
    </row>
    <row r="19" spans="1:10" ht="50.6" customHeight="1" x14ac:dyDescent="0.4">
      <c r="A19" s="26"/>
      <c r="B19" s="26"/>
      <c r="C19" s="26"/>
      <c r="D19" s="26"/>
      <c r="E19" s="30" t="s">
        <v>192</v>
      </c>
      <c r="F19" s="30" t="s">
        <v>190</v>
      </c>
      <c r="G19" s="31">
        <v>0</v>
      </c>
      <c r="H19" s="26"/>
      <c r="I19" s="26"/>
      <c r="J19" s="26"/>
    </row>
  </sheetData>
  <mergeCells count="35">
    <mergeCell ref="J18:J19"/>
    <mergeCell ref="I15:I16"/>
    <mergeCell ref="I12:I14"/>
    <mergeCell ref="I8:I11"/>
    <mergeCell ref="I18:I19"/>
    <mergeCell ref="J8:J11"/>
    <mergeCell ref="F8:F11"/>
    <mergeCell ref="G8:G11"/>
    <mergeCell ref="J12:J14"/>
    <mergeCell ref="J15:J16"/>
    <mergeCell ref="H8:H11"/>
    <mergeCell ref="H12:H14"/>
    <mergeCell ref="H15:H16"/>
    <mergeCell ref="A12:A19"/>
    <mergeCell ref="B18:B19"/>
    <mergeCell ref="C18:C19"/>
    <mergeCell ref="D18:D19"/>
    <mergeCell ref="H18:H19"/>
    <mergeCell ref="E8:E11"/>
    <mergeCell ref="B12:B14"/>
    <mergeCell ref="C12:C14"/>
    <mergeCell ref="D12:D14"/>
    <mergeCell ref="B15:B16"/>
    <mergeCell ref="C15:C16"/>
    <mergeCell ref="D15:D16"/>
    <mergeCell ref="E15:E16"/>
    <mergeCell ref="A2:A4"/>
    <mergeCell ref="C2:C4"/>
    <mergeCell ref="A5:A6"/>
    <mergeCell ref="C5:C6"/>
    <mergeCell ref="D5:D6"/>
    <mergeCell ref="A8:A11"/>
    <mergeCell ref="B8:B11"/>
    <mergeCell ref="C8:C11"/>
    <mergeCell ref="D8:D1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61712-454A-491A-B2EE-1F8560915A81}">
  <dimension ref="A1:J19"/>
  <sheetViews>
    <sheetView zoomScale="85" zoomScaleNormal="85" workbookViewId="0">
      <selection activeCell="J12" sqref="J12:J14"/>
    </sheetView>
  </sheetViews>
  <sheetFormatPr defaultRowHeight="14.6" x14ac:dyDescent="0.4"/>
  <cols>
    <col min="1" max="1" width="10.3828125" bestFit="1" customWidth="1"/>
    <col min="2" max="2" width="26" bestFit="1" customWidth="1"/>
    <col min="3" max="3" width="35.84375" customWidth="1"/>
    <col min="4" max="4" width="19.07421875" customWidth="1"/>
    <col min="5" max="5" width="23" customWidth="1"/>
    <col min="6" max="6" width="20.61328125" bestFit="1" customWidth="1"/>
    <col min="7" max="7" width="9.23046875" customWidth="1"/>
    <col min="8" max="8" width="11.921875" customWidth="1"/>
    <col min="9" max="9" width="11.84375" customWidth="1"/>
    <col min="10" max="10" width="13.3046875" bestFit="1" customWidth="1"/>
  </cols>
  <sheetData>
    <row r="1" spans="1:10" ht="29.15" x14ac:dyDescent="0.4">
      <c r="A1" s="19" t="s">
        <v>38</v>
      </c>
      <c r="B1" s="19" t="s">
        <v>10</v>
      </c>
      <c r="C1" s="19" t="s">
        <v>13</v>
      </c>
      <c r="D1" s="19" t="s">
        <v>12</v>
      </c>
      <c r="E1" s="19" t="s">
        <v>0</v>
      </c>
      <c r="F1" s="19" t="s">
        <v>11</v>
      </c>
      <c r="G1" s="19" t="s">
        <v>35</v>
      </c>
      <c r="H1" s="19" t="s">
        <v>171</v>
      </c>
      <c r="I1" s="19" t="s">
        <v>172</v>
      </c>
      <c r="J1" s="19" t="s">
        <v>1</v>
      </c>
    </row>
    <row r="2" spans="1:10" x14ac:dyDescent="0.4">
      <c r="A2" s="24" t="s">
        <v>39</v>
      </c>
      <c r="B2" s="25" t="s">
        <v>18</v>
      </c>
      <c r="C2" s="24" t="s">
        <v>19</v>
      </c>
      <c r="D2" s="25" t="s">
        <v>177</v>
      </c>
      <c r="E2" s="25" t="s">
        <v>29</v>
      </c>
      <c r="F2" s="25" t="s">
        <v>30</v>
      </c>
      <c r="G2" s="25" t="s">
        <v>7</v>
      </c>
      <c r="H2" s="25">
        <v>0.33</v>
      </c>
      <c r="I2" s="25">
        <f>H2/5</f>
        <v>6.6000000000000003E-2</v>
      </c>
      <c r="J2" s="25" t="s">
        <v>36</v>
      </c>
    </row>
    <row r="3" spans="1:10" ht="43.75" x14ac:dyDescent="0.4">
      <c r="A3" s="22"/>
      <c r="B3" s="20" t="s">
        <v>167</v>
      </c>
      <c r="C3" s="22"/>
      <c r="D3" s="20" t="s">
        <v>168</v>
      </c>
      <c r="E3" s="20" t="s">
        <v>25</v>
      </c>
      <c r="F3" s="20" t="s">
        <v>174</v>
      </c>
      <c r="G3" s="20" t="s">
        <v>4</v>
      </c>
      <c r="H3" s="20">
        <v>0.33</v>
      </c>
      <c r="I3" s="20">
        <f t="shared" ref="I3:I18" si="0">H3/5</f>
        <v>6.6000000000000003E-2</v>
      </c>
      <c r="J3" s="20" t="s">
        <v>5</v>
      </c>
    </row>
    <row r="4" spans="1:10" ht="43.75" x14ac:dyDescent="0.4">
      <c r="A4" s="26"/>
      <c r="B4" s="27" t="s">
        <v>166</v>
      </c>
      <c r="C4" s="26"/>
      <c r="D4" s="27" t="s">
        <v>173</v>
      </c>
      <c r="E4" s="27" t="s">
        <v>25</v>
      </c>
      <c r="F4" s="27" t="s">
        <v>175</v>
      </c>
      <c r="G4" s="27" t="s">
        <v>176</v>
      </c>
      <c r="H4" s="27">
        <v>0.33</v>
      </c>
      <c r="I4" s="27">
        <f t="shared" si="0"/>
        <v>6.6000000000000003E-2</v>
      </c>
      <c r="J4" s="27" t="s">
        <v>36</v>
      </c>
    </row>
    <row r="5" spans="1:10" ht="29.15" x14ac:dyDescent="0.4">
      <c r="A5" s="22" t="s">
        <v>41</v>
      </c>
      <c r="B5" s="20" t="s">
        <v>169</v>
      </c>
      <c r="C5" s="22" t="s">
        <v>15</v>
      </c>
      <c r="D5" s="22" t="s">
        <v>179</v>
      </c>
      <c r="E5" s="20" t="s">
        <v>180</v>
      </c>
      <c r="F5" s="20" t="s">
        <v>26</v>
      </c>
      <c r="G5" s="20" t="s">
        <v>196</v>
      </c>
      <c r="H5" s="20">
        <v>0.6</v>
      </c>
      <c r="I5" s="20">
        <f t="shared" si="0"/>
        <v>0.12</v>
      </c>
      <c r="J5" s="20" t="s">
        <v>36</v>
      </c>
    </row>
    <row r="6" spans="1:10" ht="43.75" x14ac:dyDescent="0.4">
      <c r="A6" s="26"/>
      <c r="B6" s="27" t="s">
        <v>170</v>
      </c>
      <c r="C6" s="26"/>
      <c r="D6" s="26"/>
      <c r="E6" s="27" t="s">
        <v>181</v>
      </c>
      <c r="F6" s="28" t="s">
        <v>178</v>
      </c>
      <c r="G6" s="27" t="s">
        <v>196</v>
      </c>
      <c r="H6" s="27">
        <v>0.4</v>
      </c>
      <c r="I6" s="27">
        <f t="shared" si="0"/>
        <v>0.08</v>
      </c>
      <c r="J6" s="27" t="s">
        <v>36</v>
      </c>
    </row>
    <row r="7" spans="1:10" ht="43.75" x14ac:dyDescent="0.4">
      <c r="A7" s="29" t="s">
        <v>40</v>
      </c>
      <c r="B7" s="29" t="s">
        <v>28</v>
      </c>
      <c r="C7" s="29" t="s">
        <v>16</v>
      </c>
      <c r="D7" s="29" t="s">
        <v>23</v>
      </c>
      <c r="E7" s="29" t="s">
        <v>25</v>
      </c>
      <c r="F7" s="29" t="s">
        <v>24</v>
      </c>
      <c r="G7" s="29" t="s">
        <v>4</v>
      </c>
      <c r="H7" s="29">
        <v>1</v>
      </c>
      <c r="I7" s="29">
        <f t="shared" si="0"/>
        <v>0.2</v>
      </c>
      <c r="J7" s="29" t="s">
        <v>5</v>
      </c>
    </row>
    <row r="8" spans="1:10" x14ac:dyDescent="0.4">
      <c r="A8" s="24" t="s">
        <v>9</v>
      </c>
      <c r="B8" s="24" t="s">
        <v>42</v>
      </c>
      <c r="C8" s="24" t="s">
        <v>37</v>
      </c>
      <c r="D8" s="24" t="s">
        <v>179</v>
      </c>
      <c r="E8" s="24" t="s">
        <v>194</v>
      </c>
      <c r="F8" s="24" t="s">
        <v>195</v>
      </c>
      <c r="G8" s="24" t="s">
        <v>196</v>
      </c>
      <c r="H8" s="24">
        <v>1</v>
      </c>
      <c r="I8" s="24">
        <f t="shared" si="0"/>
        <v>0.2</v>
      </c>
      <c r="J8" s="24" t="s">
        <v>36</v>
      </c>
    </row>
    <row r="9" spans="1:10" x14ac:dyDescent="0.4">
      <c r="A9" s="22"/>
      <c r="B9" s="22"/>
      <c r="C9" s="22"/>
      <c r="D9" s="22"/>
      <c r="E9" s="22"/>
      <c r="F9" s="22"/>
      <c r="G9" s="22"/>
      <c r="H9" s="22"/>
      <c r="I9" s="22"/>
      <c r="J9" s="22"/>
    </row>
    <row r="10" spans="1:10" x14ac:dyDescent="0.4">
      <c r="A10" s="22"/>
      <c r="B10" s="22"/>
      <c r="C10" s="22"/>
      <c r="D10" s="22"/>
      <c r="E10" s="22"/>
      <c r="F10" s="22"/>
      <c r="G10" s="22"/>
      <c r="H10" s="22"/>
      <c r="I10" s="22"/>
      <c r="J10" s="22"/>
    </row>
    <row r="11" spans="1:10" x14ac:dyDescent="0.4">
      <c r="A11" s="26"/>
      <c r="B11" s="26"/>
      <c r="C11" s="26"/>
      <c r="D11" s="26"/>
      <c r="E11" s="26"/>
      <c r="F11" s="26"/>
      <c r="G11" s="26"/>
      <c r="H11" s="26"/>
      <c r="I11" s="26"/>
      <c r="J11" s="26"/>
    </row>
    <row r="12" spans="1:10" ht="116.6" x14ac:dyDescent="0.4">
      <c r="A12" s="24" t="s">
        <v>43</v>
      </c>
      <c r="B12" s="24" t="s">
        <v>2</v>
      </c>
      <c r="C12" s="24" t="s">
        <v>17</v>
      </c>
      <c r="D12" s="24" t="s">
        <v>177</v>
      </c>
      <c r="E12" s="25" t="s">
        <v>3</v>
      </c>
      <c r="F12" s="25" t="s">
        <v>184</v>
      </c>
      <c r="G12" s="25">
        <v>3</v>
      </c>
      <c r="H12" s="24">
        <v>0.33</v>
      </c>
      <c r="I12" s="24">
        <f t="shared" si="0"/>
        <v>6.6000000000000003E-2</v>
      </c>
      <c r="J12" s="24" t="s">
        <v>35</v>
      </c>
    </row>
    <row r="13" spans="1:10" ht="87.45" x14ac:dyDescent="0.4">
      <c r="A13" s="22"/>
      <c r="B13" s="22"/>
      <c r="C13" s="22"/>
      <c r="D13" s="22"/>
      <c r="E13" s="20" t="s">
        <v>182</v>
      </c>
      <c r="F13" s="20" t="s">
        <v>185</v>
      </c>
      <c r="G13" s="20">
        <v>2</v>
      </c>
      <c r="H13" s="22"/>
      <c r="I13" s="22"/>
      <c r="J13" s="22"/>
    </row>
    <row r="14" spans="1:10" ht="72.900000000000006" x14ac:dyDescent="0.4">
      <c r="A14" s="22"/>
      <c r="B14" s="22"/>
      <c r="C14" s="22"/>
      <c r="D14" s="22"/>
      <c r="E14" s="20" t="s">
        <v>183</v>
      </c>
      <c r="F14" s="20" t="s">
        <v>186</v>
      </c>
      <c r="G14" s="20">
        <v>1</v>
      </c>
      <c r="H14" s="22"/>
      <c r="I14" s="22"/>
      <c r="J14" s="22"/>
    </row>
    <row r="15" spans="1:10" ht="29.15" x14ac:dyDescent="0.4">
      <c r="A15" s="22"/>
      <c r="B15" s="22" t="s">
        <v>14</v>
      </c>
      <c r="C15" s="22" t="s">
        <v>20</v>
      </c>
      <c r="D15" s="22" t="s">
        <v>23</v>
      </c>
      <c r="E15" s="22" t="s">
        <v>25</v>
      </c>
      <c r="F15" s="20" t="s">
        <v>32</v>
      </c>
      <c r="G15" s="20">
        <v>0</v>
      </c>
      <c r="H15" s="22">
        <v>0.33</v>
      </c>
      <c r="I15" s="22">
        <f t="shared" si="0"/>
        <v>6.6000000000000003E-2</v>
      </c>
      <c r="J15" s="22" t="s">
        <v>35</v>
      </c>
    </row>
    <row r="16" spans="1:10" ht="29.15" x14ac:dyDescent="0.4">
      <c r="A16" s="22"/>
      <c r="B16" s="22"/>
      <c r="C16" s="22"/>
      <c r="D16" s="22"/>
      <c r="E16" s="22"/>
      <c r="F16" s="20" t="s">
        <v>31</v>
      </c>
      <c r="G16" s="20">
        <v>1</v>
      </c>
      <c r="H16" s="22"/>
      <c r="I16" s="22"/>
      <c r="J16" s="22"/>
    </row>
    <row r="17" spans="1:10" ht="58.3" x14ac:dyDescent="0.4">
      <c r="A17" s="22"/>
      <c r="B17" s="20" t="s">
        <v>8</v>
      </c>
      <c r="C17" s="20" t="s">
        <v>21</v>
      </c>
      <c r="D17" s="20" t="s">
        <v>177</v>
      </c>
      <c r="E17" s="20" t="s">
        <v>25</v>
      </c>
      <c r="F17" s="20" t="s">
        <v>33</v>
      </c>
      <c r="G17" s="20" t="s">
        <v>34</v>
      </c>
      <c r="H17" s="20">
        <f>0.33/2</f>
        <v>0.16500000000000001</v>
      </c>
      <c r="I17" s="20">
        <f t="shared" si="0"/>
        <v>3.3000000000000002E-2</v>
      </c>
      <c r="J17" s="20" t="s">
        <v>35</v>
      </c>
    </row>
    <row r="18" spans="1:10" ht="43.75" x14ac:dyDescent="0.4">
      <c r="A18" s="22"/>
      <c r="B18" s="22" t="s">
        <v>187</v>
      </c>
      <c r="C18" s="22" t="s">
        <v>193</v>
      </c>
      <c r="D18" s="22" t="s">
        <v>177</v>
      </c>
      <c r="E18" s="23" t="s">
        <v>191</v>
      </c>
      <c r="F18" s="7" t="s">
        <v>189</v>
      </c>
      <c r="G18" s="7">
        <v>1</v>
      </c>
      <c r="H18" s="22">
        <f>0.33/2</f>
        <v>0.16500000000000001</v>
      </c>
      <c r="I18" s="22">
        <f t="shared" si="0"/>
        <v>3.3000000000000002E-2</v>
      </c>
      <c r="J18" s="22" t="s">
        <v>35</v>
      </c>
    </row>
    <row r="19" spans="1:10" x14ac:dyDescent="0.4">
      <c r="A19" s="26"/>
      <c r="B19" s="26"/>
      <c r="C19" s="26"/>
      <c r="D19" s="26"/>
      <c r="E19" s="30" t="s">
        <v>192</v>
      </c>
      <c r="F19" s="30" t="s">
        <v>190</v>
      </c>
      <c r="G19" s="31">
        <v>0</v>
      </c>
      <c r="H19" s="26"/>
      <c r="I19" s="26"/>
      <c r="J19" s="26"/>
    </row>
  </sheetData>
  <mergeCells count="35">
    <mergeCell ref="I18:I19"/>
    <mergeCell ref="J18:J19"/>
    <mergeCell ref="J12:J14"/>
    <mergeCell ref="B15:B16"/>
    <mergeCell ref="C15:C16"/>
    <mergeCell ref="D15:D16"/>
    <mergeCell ref="E15:E16"/>
    <mergeCell ref="H15:H16"/>
    <mergeCell ref="I15:I16"/>
    <mergeCell ref="J15:J16"/>
    <mergeCell ref="A12:A19"/>
    <mergeCell ref="B12:B14"/>
    <mergeCell ref="C12:C14"/>
    <mergeCell ref="D12:D14"/>
    <mergeCell ref="H12:H14"/>
    <mergeCell ref="I12:I14"/>
    <mergeCell ref="B18:B19"/>
    <mergeCell ref="C18:C19"/>
    <mergeCell ref="D18:D19"/>
    <mergeCell ref="H18:H19"/>
    <mergeCell ref="E8:E11"/>
    <mergeCell ref="F8:F11"/>
    <mergeCell ref="G8:G11"/>
    <mergeCell ref="H8:H11"/>
    <mergeCell ref="I8:I11"/>
    <mergeCell ref="J8:J11"/>
    <mergeCell ref="A2:A4"/>
    <mergeCell ref="C2:C4"/>
    <mergeCell ref="A5:A6"/>
    <mergeCell ref="C5:C6"/>
    <mergeCell ref="D5:D6"/>
    <mergeCell ref="A8:A11"/>
    <mergeCell ref="B8:B11"/>
    <mergeCell ref="C8:C11"/>
    <mergeCell ref="D8:D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BEF19-CD3A-4E0D-8B18-E7C3DB223DB4}">
  <dimension ref="A1:F111"/>
  <sheetViews>
    <sheetView topLeftCell="A71" workbookViewId="0">
      <selection activeCell="D106" sqref="D106"/>
    </sheetView>
  </sheetViews>
  <sheetFormatPr defaultRowHeight="14.6" x14ac:dyDescent="0.4"/>
  <cols>
    <col min="3" max="3" width="30.61328125" bestFit="1" customWidth="1"/>
    <col min="4" max="4" width="52.69140625" bestFit="1" customWidth="1"/>
    <col min="5" max="5" width="24.07421875" hidden="1" customWidth="1"/>
    <col min="6" max="6" width="15.07421875" bestFit="1" customWidth="1"/>
  </cols>
  <sheetData>
    <row r="1" spans="1:6" x14ac:dyDescent="0.4">
      <c r="A1" s="14" t="s">
        <v>163</v>
      </c>
      <c r="B1" s="14" t="s">
        <v>164</v>
      </c>
      <c r="C1" s="12" t="s">
        <v>44</v>
      </c>
      <c r="D1" s="12" t="s">
        <v>45</v>
      </c>
      <c r="E1" s="12" t="s">
        <v>46</v>
      </c>
      <c r="F1" s="12" t="s">
        <v>165</v>
      </c>
    </row>
    <row r="2" spans="1:6" x14ac:dyDescent="0.4">
      <c r="A2">
        <v>1</v>
      </c>
      <c r="B2">
        <v>1</v>
      </c>
      <c r="C2" s="13" t="s">
        <v>47</v>
      </c>
      <c r="D2" s="13" t="s">
        <v>48</v>
      </c>
      <c r="E2" s="13" t="s">
        <v>25</v>
      </c>
      <c r="F2">
        <v>0</v>
      </c>
    </row>
    <row r="3" spans="1:6" x14ac:dyDescent="0.4">
      <c r="A3">
        <v>1</v>
      </c>
      <c r="B3">
        <v>2</v>
      </c>
      <c r="C3" s="13" t="s">
        <v>47</v>
      </c>
      <c r="D3" s="13" t="s">
        <v>49</v>
      </c>
      <c r="E3" s="13" t="s">
        <v>25</v>
      </c>
      <c r="F3">
        <v>0</v>
      </c>
    </row>
    <row r="4" spans="1:6" x14ac:dyDescent="0.4">
      <c r="A4">
        <v>1</v>
      </c>
      <c r="B4">
        <v>3</v>
      </c>
      <c r="C4" s="13" t="s">
        <v>47</v>
      </c>
      <c r="D4" s="13" t="s">
        <v>50</v>
      </c>
      <c r="E4" s="13" t="s">
        <v>25</v>
      </c>
      <c r="F4">
        <v>0</v>
      </c>
    </row>
    <row r="5" spans="1:6" x14ac:dyDescent="0.4">
      <c r="A5">
        <v>1</v>
      </c>
      <c r="B5">
        <v>4</v>
      </c>
      <c r="C5" s="13" t="s">
        <v>47</v>
      </c>
      <c r="D5" s="13" t="s">
        <v>51</v>
      </c>
      <c r="E5" s="13" t="s">
        <v>25</v>
      </c>
      <c r="F5">
        <v>0</v>
      </c>
    </row>
    <row r="6" spans="1:6" x14ac:dyDescent="0.4">
      <c r="A6">
        <v>1</v>
      </c>
      <c r="B6">
        <v>5</v>
      </c>
      <c r="C6" s="13" t="s">
        <v>47</v>
      </c>
      <c r="D6" s="13" t="s">
        <v>52</v>
      </c>
      <c r="E6" s="13" t="s">
        <v>25</v>
      </c>
      <c r="F6">
        <v>0</v>
      </c>
    </row>
    <row r="7" spans="1:6" x14ac:dyDescent="0.4">
      <c r="A7">
        <v>1</v>
      </c>
      <c r="B7">
        <v>6</v>
      </c>
      <c r="C7" s="13" t="s">
        <v>47</v>
      </c>
      <c r="D7" s="13" t="s">
        <v>53</v>
      </c>
      <c r="E7" s="13" t="s">
        <v>25</v>
      </c>
      <c r="F7">
        <v>0</v>
      </c>
    </row>
    <row r="8" spans="1:6" x14ac:dyDescent="0.4">
      <c r="A8">
        <v>1</v>
      </c>
      <c r="B8">
        <v>7</v>
      </c>
      <c r="C8" s="13" t="s">
        <v>47</v>
      </c>
      <c r="D8" s="13" t="s">
        <v>54</v>
      </c>
      <c r="E8" s="13" t="s">
        <v>25</v>
      </c>
      <c r="F8">
        <v>0</v>
      </c>
    </row>
    <row r="9" spans="1:6" x14ac:dyDescent="0.4">
      <c r="A9">
        <v>1</v>
      </c>
      <c r="B9">
        <v>8</v>
      </c>
      <c r="C9" s="13" t="s">
        <v>47</v>
      </c>
      <c r="D9" s="13" t="s">
        <v>55</v>
      </c>
      <c r="E9" s="13" t="s">
        <v>25</v>
      </c>
      <c r="F9">
        <v>0</v>
      </c>
    </row>
    <row r="10" spans="1:6" x14ac:dyDescent="0.4">
      <c r="A10">
        <v>1</v>
      </c>
      <c r="B10">
        <v>9</v>
      </c>
      <c r="C10" s="13" t="s">
        <v>47</v>
      </c>
      <c r="D10" s="13" t="s">
        <v>56</v>
      </c>
      <c r="E10" s="13" t="s">
        <v>25</v>
      </c>
      <c r="F10">
        <v>0</v>
      </c>
    </row>
    <row r="11" spans="1:6" x14ac:dyDescent="0.4">
      <c r="A11">
        <v>2</v>
      </c>
      <c r="B11">
        <v>1</v>
      </c>
      <c r="C11" s="13" t="s">
        <v>57</v>
      </c>
      <c r="D11" s="13" t="s">
        <v>58</v>
      </c>
      <c r="E11" s="13" t="s">
        <v>25</v>
      </c>
      <c r="F11">
        <v>0</v>
      </c>
    </row>
    <row r="12" spans="1:6" x14ac:dyDescent="0.4">
      <c r="A12">
        <v>2</v>
      </c>
      <c r="B12">
        <v>2</v>
      </c>
      <c r="C12" s="13" t="s">
        <v>57</v>
      </c>
      <c r="D12" s="13" t="s">
        <v>59</v>
      </c>
      <c r="E12" s="13" t="s">
        <v>25</v>
      </c>
      <c r="F12">
        <v>0</v>
      </c>
    </row>
    <row r="13" spans="1:6" x14ac:dyDescent="0.4">
      <c r="A13">
        <v>3</v>
      </c>
      <c r="B13">
        <v>1</v>
      </c>
      <c r="C13" s="13" t="s">
        <v>60</v>
      </c>
      <c r="D13" s="13" t="s">
        <v>49</v>
      </c>
      <c r="E13" s="13" t="s">
        <v>25</v>
      </c>
      <c r="F13">
        <v>0</v>
      </c>
    </row>
    <row r="14" spans="1:6" x14ac:dyDescent="0.4">
      <c r="A14">
        <v>3</v>
      </c>
      <c r="B14">
        <v>2</v>
      </c>
      <c r="C14" s="13" t="s">
        <v>60</v>
      </c>
      <c r="D14" s="13" t="s">
        <v>50</v>
      </c>
      <c r="E14" s="13" t="s">
        <v>25</v>
      </c>
      <c r="F14">
        <v>0</v>
      </c>
    </row>
    <row r="15" spans="1:6" x14ac:dyDescent="0.4">
      <c r="A15">
        <v>3</v>
      </c>
      <c r="B15">
        <v>3</v>
      </c>
      <c r="C15" s="13" t="s">
        <v>60</v>
      </c>
      <c r="D15" s="13" t="s">
        <v>48</v>
      </c>
      <c r="E15" s="13" t="s">
        <v>25</v>
      </c>
      <c r="F15">
        <v>0</v>
      </c>
    </row>
    <row r="16" spans="1:6" x14ac:dyDescent="0.4">
      <c r="A16">
        <v>3</v>
      </c>
      <c r="B16">
        <v>4</v>
      </c>
      <c r="C16" s="13" t="s">
        <v>60</v>
      </c>
      <c r="D16" s="13" t="s">
        <v>51</v>
      </c>
      <c r="E16" s="13" t="s">
        <v>25</v>
      </c>
      <c r="F16">
        <v>0</v>
      </c>
    </row>
    <row r="17" spans="1:6" x14ac:dyDescent="0.4">
      <c r="A17">
        <v>3</v>
      </c>
      <c r="B17">
        <v>5</v>
      </c>
      <c r="C17" s="13" t="s">
        <v>60</v>
      </c>
      <c r="D17" s="13" t="s">
        <v>52</v>
      </c>
      <c r="E17" s="13" t="s">
        <v>25</v>
      </c>
      <c r="F17">
        <v>0</v>
      </c>
    </row>
    <row r="18" spans="1:6" x14ac:dyDescent="0.4">
      <c r="A18">
        <v>3</v>
      </c>
      <c r="B18">
        <v>6</v>
      </c>
      <c r="C18" s="13" t="s">
        <v>60</v>
      </c>
      <c r="D18" s="13" t="s">
        <v>61</v>
      </c>
      <c r="E18" s="13" t="s">
        <v>25</v>
      </c>
      <c r="F18">
        <v>0</v>
      </c>
    </row>
    <row r="19" spans="1:6" x14ac:dyDescent="0.4">
      <c r="A19">
        <v>3</v>
      </c>
      <c r="B19">
        <v>7</v>
      </c>
      <c r="C19" s="13" t="s">
        <v>60</v>
      </c>
      <c r="D19" s="13" t="s">
        <v>62</v>
      </c>
      <c r="E19" s="13" t="s">
        <v>25</v>
      </c>
      <c r="F19">
        <v>0</v>
      </c>
    </row>
    <row r="20" spans="1:6" x14ac:dyDescent="0.4">
      <c r="A20">
        <v>3</v>
      </c>
      <c r="B20">
        <v>8</v>
      </c>
      <c r="C20" s="13" t="s">
        <v>60</v>
      </c>
      <c r="D20" s="13" t="s">
        <v>63</v>
      </c>
      <c r="E20" s="13" t="s">
        <v>25</v>
      </c>
      <c r="F20">
        <v>0</v>
      </c>
    </row>
    <row r="21" spans="1:6" x14ac:dyDescent="0.4">
      <c r="A21">
        <v>4</v>
      </c>
      <c r="B21">
        <v>1</v>
      </c>
      <c r="C21" s="13" t="s">
        <v>64</v>
      </c>
      <c r="D21" s="13" t="s">
        <v>65</v>
      </c>
      <c r="E21" s="13" t="s">
        <v>25</v>
      </c>
      <c r="F21">
        <v>0</v>
      </c>
    </row>
    <row r="22" spans="1:6" x14ac:dyDescent="0.4">
      <c r="A22">
        <v>4</v>
      </c>
      <c r="B22">
        <v>2</v>
      </c>
      <c r="C22" s="13" t="s">
        <v>64</v>
      </c>
      <c r="D22" s="13" t="s">
        <v>49</v>
      </c>
      <c r="E22" s="13" t="s">
        <v>25</v>
      </c>
      <c r="F22">
        <v>0</v>
      </c>
    </row>
    <row r="23" spans="1:6" x14ac:dyDescent="0.4">
      <c r="A23">
        <v>4</v>
      </c>
      <c r="B23">
        <v>3</v>
      </c>
      <c r="C23" s="13" t="s">
        <v>64</v>
      </c>
      <c r="D23" s="13" t="s">
        <v>50</v>
      </c>
      <c r="E23" s="13" t="s">
        <v>25</v>
      </c>
      <c r="F23">
        <v>0</v>
      </c>
    </row>
    <row r="24" spans="1:6" x14ac:dyDescent="0.4">
      <c r="A24">
        <v>4</v>
      </c>
      <c r="B24">
        <v>4</v>
      </c>
      <c r="C24" s="13" t="s">
        <v>64</v>
      </c>
      <c r="D24" s="13" t="s">
        <v>51</v>
      </c>
      <c r="E24" s="13" t="s">
        <v>25</v>
      </c>
      <c r="F24">
        <v>0</v>
      </c>
    </row>
    <row r="25" spans="1:6" x14ac:dyDescent="0.4">
      <c r="A25">
        <v>4</v>
      </c>
      <c r="B25">
        <v>5</v>
      </c>
      <c r="C25" s="13" t="s">
        <v>64</v>
      </c>
      <c r="D25" s="13" t="s">
        <v>52</v>
      </c>
      <c r="E25" s="13" t="s">
        <v>25</v>
      </c>
      <c r="F25">
        <v>0</v>
      </c>
    </row>
    <row r="26" spans="1:6" x14ac:dyDescent="0.4">
      <c r="A26">
        <v>4</v>
      </c>
      <c r="B26">
        <v>6</v>
      </c>
      <c r="C26" s="13" t="s">
        <v>64</v>
      </c>
      <c r="D26" s="13" t="s">
        <v>66</v>
      </c>
      <c r="E26" s="13" t="s">
        <v>25</v>
      </c>
      <c r="F26">
        <v>0</v>
      </c>
    </row>
    <row r="27" spans="1:6" x14ac:dyDescent="0.4">
      <c r="A27">
        <v>4</v>
      </c>
      <c r="B27">
        <v>7</v>
      </c>
      <c r="C27" s="13" t="s">
        <v>64</v>
      </c>
      <c r="D27" s="13" t="s">
        <v>62</v>
      </c>
      <c r="E27" s="13" t="s">
        <v>25</v>
      </c>
      <c r="F27">
        <v>0</v>
      </c>
    </row>
    <row r="28" spans="1:6" x14ac:dyDescent="0.4">
      <c r="A28">
        <v>5</v>
      </c>
      <c r="B28">
        <v>1</v>
      </c>
      <c r="C28" s="13" t="s">
        <v>67</v>
      </c>
      <c r="D28" s="13" t="s">
        <v>68</v>
      </c>
      <c r="E28" s="13" t="s">
        <v>25</v>
      </c>
      <c r="F28">
        <v>0</v>
      </c>
    </row>
    <row r="29" spans="1:6" x14ac:dyDescent="0.4">
      <c r="A29">
        <v>5</v>
      </c>
      <c r="B29">
        <v>2</v>
      </c>
      <c r="C29" s="13" t="s">
        <v>67</v>
      </c>
      <c r="D29" s="13" t="s">
        <v>69</v>
      </c>
      <c r="E29" s="13" t="s">
        <v>25</v>
      </c>
      <c r="F29">
        <v>0</v>
      </c>
    </row>
    <row r="30" spans="1:6" x14ac:dyDescent="0.4">
      <c r="A30">
        <v>5</v>
      </c>
      <c r="B30">
        <v>3</v>
      </c>
      <c r="C30" s="13" t="s">
        <v>67</v>
      </c>
      <c r="D30" s="13" t="s">
        <v>70</v>
      </c>
      <c r="E30" s="13" t="s">
        <v>25</v>
      </c>
      <c r="F30">
        <v>0</v>
      </c>
    </row>
    <row r="31" spans="1:6" x14ac:dyDescent="0.4">
      <c r="A31">
        <v>5</v>
      </c>
      <c r="B31">
        <v>4</v>
      </c>
      <c r="C31" s="13" t="s">
        <v>67</v>
      </c>
      <c r="D31" s="13" t="s">
        <v>71</v>
      </c>
      <c r="E31" s="13" t="s">
        <v>25</v>
      </c>
      <c r="F31">
        <v>0</v>
      </c>
    </row>
    <row r="32" spans="1:6" x14ac:dyDescent="0.4">
      <c r="A32">
        <v>5</v>
      </c>
      <c r="B32">
        <v>5</v>
      </c>
      <c r="C32" s="13" t="s">
        <v>67</v>
      </c>
      <c r="D32" s="13" t="s">
        <v>72</v>
      </c>
      <c r="E32" s="13" t="s">
        <v>25</v>
      </c>
      <c r="F32">
        <v>0</v>
      </c>
    </row>
    <row r="33" spans="1:6" x14ac:dyDescent="0.4">
      <c r="A33">
        <v>5</v>
      </c>
      <c r="B33">
        <v>6</v>
      </c>
      <c r="C33" s="13" t="s">
        <v>67</v>
      </c>
      <c r="D33" s="13" t="s">
        <v>73</v>
      </c>
      <c r="E33" s="13" t="s">
        <v>25</v>
      </c>
      <c r="F33">
        <v>0</v>
      </c>
    </row>
    <row r="34" spans="1:6" x14ac:dyDescent="0.4">
      <c r="A34">
        <v>5</v>
      </c>
      <c r="B34">
        <v>7</v>
      </c>
      <c r="C34" s="13" t="s">
        <v>67</v>
      </c>
      <c r="D34" s="13" t="s">
        <v>74</v>
      </c>
      <c r="E34" s="13" t="s">
        <v>25</v>
      </c>
      <c r="F34">
        <v>0</v>
      </c>
    </row>
    <row r="35" spans="1:6" x14ac:dyDescent="0.4">
      <c r="A35">
        <v>5</v>
      </c>
      <c r="B35">
        <v>8</v>
      </c>
      <c r="C35" s="13" t="s">
        <v>67</v>
      </c>
      <c r="D35" s="13" t="s">
        <v>75</v>
      </c>
      <c r="E35" s="13" t="s">
        <v>25</v>
      </c>
      <c r="F35">
        <v>0</v>
      </c>
    </row>
    <row r="36" spans="1:6" x14ac:dyDescent="0.4">
      <c r="A36">
        <v>5</v>
      </c>
      <c r="B36">
        <v>9</v>
      </c>
      <c r="C36" s="13" t="s">
        <v>67</v>
      </c>
      <c r="D36" s="13" t="s">
        <v>76</v>
      </c>
      <c r="E36" s="13" t="s">
        <v>25</v>
      </c>
      <c r="F36">
        <v>0</v>
      </c>
    </row>
    <row r="37" spans="1:6" x14ac:dyDescent="0.4">
      <c r="A37">
        <v>5</v>
      </c>
      <c r="B37">
        <v>10</v>
      </c>
      <c r="C37" s="13" t="s">
        <v>67</v>
      </c>
      <c r="D37" s="13" t="s">
        <v>77</v>
      </c>
      <c r="E37" s="13" t="s">
        <v>25</v>
      </c>
      <c r="F37">
        <v>0</v>
      </c>
    </row>
    <row r="38" spans="1:6" x14ac:dyDescent="0.4">
      <c r="A38">
        <v>5</v>
      </c>
      <c r="B38">
        <v>11</v>
      </c>
      <c r="C38" s="13" t="s">
        <v>67</v>
      </c>
      <c r="D38" s="13" t="s">
        <v>78</v>
      </c>
      <c r="E38" s="13" t="s">
        <v>25</v>
      </c>
      <c r="F38">
        <v>0</v>
      </c>
    </row>
    <row r="39" spans="1:6" x14ac:dyDescent="0.4">
      <c r="A39">
        <v>5</v>
      </c>
      <c r="B39">
        <v>12</v>
      </c>
      <c r="C39" s="13" t="s">
        <v>67</v>
      </c>
      <c r="D39" s="13" t="s">
        <v>79</v>
      </c>
      <c r="E39" s="13" t="s">
        <v>25</v>
      </c>
      <c r="F39">
        <v>0</v>
      </c>
    </row>
    <row r="40" spans="1:6" x14ac:dyDescent="0.4">
      <c r="A40">
        <v>5</v>
      </c>
      <c r="B40">
        <v>13</v>
      </c>
      <c r="C40" s="13" t="s">
        <v>67</v>
      </c>
      <c r="D40" s="13" t="s">
        <v>80</v>
      </c>
      <c r="E40" s="13" t="s">
        <v>25</v>
      </c>
      <c r="F40">
        <v>0</v>
      </c>
    </row>
    <row r="41" spans="1:6" x14ac:dyDescent="0.4">
      <c r="A41">
        <v>5</v>
      </c>
      <c r="B41">
        <v>14</v>
      </c>
      <c r="C41" s="13" t="s">
        <v>67</v>
      </c>
      <c r="D41" s="13" t="s">
        <v>81</v>
      </c>
      <c r="E41" s="13" t="s">
        <v>25</v>
      </c>
      <c r="F41">
        <v>0</v>
      </c>
    </row>
    <row r="42" spans="1:6" x14ac:dyDescent="0.4">
      <c r="A42">
        <v>5</v>
      </c>
      <c r="B42">
        <v>15</v>
      </c>
      <c r="C42" s="13" t="s">
        <v>67</v>
      </c>
      <c r="D42" s="13" t="s">
        <v>82</v>
      </c>
      <c r="E42" s="13" t="s">
        <v>25</v>
      </c>
      <c r="F42">
        <v>0</v>
      </c>
    </row>
    <row r="43" spans="1:6" x14ac:dyDescent="0.4">
      <c r="A43">
        <v>5</v>
      </c>
      <c r="B43">
        <v>16</v>
      </c>
      <c r="C43" s="13" t="s">
        <v>67</v>
      </c>
      <c r="D43" s="13" t="s">
        <v>83</v>
      </c>
      <c r="E43" s="13" t="s">
        <v>25</v>
      </c>
      <c r="F43">
        <v>0</v>
      </c>
    </row>
    <row r="44" spans="1:6" x14ac:dyDescent="0.4">
      <c r="A44">
        <v>5</v>
      </c>
      <c r="B44">
        <v>17</v>
      </c>
      <c r="C44" s="13" t="s">
        <v>67</v>
      </c>
      <c r="D44" s="13" t="s">
        <v>84</v>
      </c>
      <c r="E44" s="13" t="s">
        <v>25</v>
      </c>
      <c r="F44">
        <v>0</v>
      </c>
    </row>
    <row r="45" spans="1:6" x14ac:dyDescent="0.4">
      <c r="A45">
        <v>5</v>
      </c>
      <c r="B45">
        <v>18</v>
      </c>
      <c r="C45" s="13" t="s">
        <v>67</v>
      </c>
      <c r="D45" s="13" t="s">
        <v>85</v>
      </c>
      <c r="E45" s="13" t="s">
        <v>25</v>
      </c>
      <c r="F45">
        <v>0</v>
      </c>
    </row>
    <row r="46" spans="1:6" x14ac:dyDescent="0.4">
      <c r="A46">
        <v>6</v>
      </c>
      <c r="B46">
        <v>1</v>
      </c>
      <c r="C46" s="13" t="s">
        <v>86</v>
      </c>
      <c r="D46" s="13" t="s">
        <v>87</v>
      </c>
      <c r="E46" s="13" t="s">
        <v>25</v>
      </c>
      <c r="F46">
        <v>0</v>
      </c>
    </row>
    <row r="47" spans="1:6" x14ac:dyDescent="0.4">
      <c r="A47">
        <v>7</v>
      </c>
      <c r="B47">
        <v>1</v>
      </c>
      <c r="C47" s="13" t="s">
        <v>88</v>
      </c>
      <c r="D47" s="13" t="s">
        <v>89</v>
      </c>
      <c r="E47" s="13" t="s">
        <v>25</v>
      </c>
      <c r="F47">
        <v>0</v>
      </c>
    </row>
    <row r="48" spans="1:6" x14ac:dyDescent="0.4">
      <c r="A48">
        <v>7</v>
      </c>
      <c r="B48">
        <v>2</v>
      </c>
      <c r="C48" s="13" t="s">
        <v>88</v>
      </c>
      <c r="D48" s="13" t="s">
        <v>90</v>
      </c>
      <c r="E48" s="13" t="s">
        <v>25</v>
      </c>
      <c r="F48">
        <v>0</v>
      </c>
    </row>
    <row r="49" spans="1:6" x14ac:dyDescent="0.4">
      <c r="A49">
        <v>8</v>
      </c>
      <c r="B49">
        <v>1</v>
      </c>
      <c r="C49" s="13" t="s">
        <v>91</v>
      </c>
      <c r="D49" s="13" t="s">
        <v>92</v>
      </c>
      <c r="E49" s="13" t="s">
        <v>25</v>
      </c>
      <c r="F49">
        <v>0</v>
      </c>
    </row>
    <row r="50" spans="1:6" x14ac:dyDescent="0.4">
      <c r="A50">
        <v>8</v>
      </c>
      <c r="B50">
        <v>2</v>
      </c>
      <c r="C50" s="13" t="s">
        <v>91</v>
      </c>
      <c r="D50" s="13" t="s">
        <v>51</v>
      </c>
      <c r="E50" s="13" t="s">
        <v>25</v>
      </c>
      <c r="F50">
        <v>0</v>
      </c>
    </row>
    <row r="51" spans="1:6" x14ac:dyDescent="0.4">
      <c r="A51">
        <v>8</v>
      </c>
      <c r="B51">
        <v>3</v>
      </c>
      <c r="C51" s="13" t="s">
        <v>91</v>
      </c>
      <c r="D51" s="13" t="s">
        <v>93</v>
      </c>
      <c r="E51" s="13" t="s">
        <v>25</v>
      </c>
      <c r="F51">
        <v>0</v>
      </c>
    </row>
    <row r="52" spans="1:6" x14ac:dyDescent="0.4">
      <c r="A52">
        <v>9</v>
      </c>
      <c r="B52">
        <v>1</v>
      </c>
      <c r="C52" s="13" t="s">
        <v>94</v>
      </c>
      <c r="D52" s="13" t="s">
        <v>95</v>
      </c>
      <c r="E52" s="13" t="s">
        <v>25</v>
      </c>
      <c r="F52">
        <v>0</v>
      </c>
    </row>
    <row r="53" spans="1:6" x14ac:dyDescent="0.4">
      <c r="A53">
        <v>9</v>
      </c>
      <c r="B53">
        <v>2</v>
      </c>
      <c r="C53" s="13" t="s">
        <v>94</v>
      </c>
      <c r="D53" s="13" t="s">
        <v>96</v>
      </c>
      <c r="E53" s="13" t="s">
        <v>25</v>
      </c>
      <c r="F53">
        <v>0</v>
      </c>
    </row>
    <row r="54" spans="1:6" x14ac:dyDescent="0.4">
      <c r="A54">
        <v>9</v>
      </c>
      <c r="B54">
        <v>3</v>
      </c>
      <c r="C54" s="13" t="s">
        <v>94</v>
      </c>
      <c r="D54" s="13" t="s">
        <v>97</v>
      </c>
      <c r="E54" s="13" t="s">
        <v>25</v>
      </c>
      <c r="F54">
        <v>0</v>
      </c>
    </row>
    <row r="55" spans="1:6" x14ac:dyDescent="0.4">
      <c r="A55">
        <v>9</v>
      </c>
      <c r="B55">
        <v>4</v>
      </c>
      <c r="C55" s="13" t="s">
        <v>94</v>
      </c>
      <c r="D55" s="13" t="s">
        <v>98</v>
      </c>
      <c r="E55" s="13" t="s">
        <v>25</v>
      </c>
      <c r="F55">
        <v>0</v>
      </c>
    </row>
    <row r="56" spans="1:6" x14ac:dyDescent="0.4">
      <c r="A56">
        <v>9</v>
      </c>
      <c r="B56">
        <v>5</v>
      </c>
      <c r="C56" s="13" t="s">
        <v>94</v>
      </c>
      <c r="D56" s="13" t="s">
        <v>99</v>
      </c>
      <c r="E56" s="13" t="s">
        <v>25</v>
      </c>
      <c r="F56">
        <v>0</v>
      </c>
    </row>
    <row r="57" spans="1:6" x14ac:dyDescent="0.4">
      <c r="A57">
        <v>9</v>
      </c>
      <c r="B57">
        <v>6</v>
      </c>
      <c r="C57" s="13" t="s">
        <v>94</v>
      </c>
      <c r="D57" s="13" t="s">
        <v>100</v>
      </c>
      <c r="E57" s="13" t="s">
        <v>25</v>
      </c>
      <c r="F57">
        <v>0</v>
      </c>
    </row>
    <row r="58" spans="1:6" x14ac:dyDescent="0.4">
      <c r="A58">
        <v>9</v>
      </c>
      <c r="B58">
        <v>7</v>
      </c>
      <c r="C58" s="13" t="s">
        <v>94</v>
      </c>
      <c r="D58" s="13" t="s">
        <v>101</v>
      </c>
      <c r="E58" s="13" t="s">
        <v>25</v>
      </c>
      <c r="F58">
        <v>0</v>
      </c>
    </row>
    <row r="59" spans="1:6" x14ac:dyDescent="0.4">
      <c r="A59">
        <v>9</v>
      </c>
      <c r="B59">
        <v>8</v>
      </c>
      <c r="C59" s="13" t="s">
        <v>94</v>
      </c>
      <c r="D59" s="13" t="s">
        <v>102</v>
      </c>
      <c r="E59" s="13" t="s">
        <v>103</v>
      </c>
      <c r="F59">
        <v>0</v>
      </c>
    </row>
    <row r="60" spans="1:6" x14ac:dyDescent="0.4">
      <c r="A60">
        <v>9</v>
      </c>
      <c r="B60">
        <v>9</v>
      </c>
      <c r="C60" s="13" t="s">
        <v>94</v>
      </c>
      <c r="D60" s="13" t="s">
        <v>102</v>
      </c>
      <c r="E60" s="13" t="s">
        <v>104</v>
      </c>
      <c r="F60">
        <v>0</v>
      </c>
    </row>
    <row r="61" spans="1:6" x14ac:dyDescent="0.4">
      <c r="A61">
        <v>9</v>
      </c>
      <c r="B61">
        <v>10</v>
      </c>
      <c r="C61" s="13" t="s">
        <v>94</v>
      </c>
      <c r="D61" s="13" t="s">
        <v>102</v>
      </c>
      <c r="E61" s="13" t="s">
        <v>105</v>
      </c>
      <c r="F61">
        <v>0</v>
      </c>
    </row>
    <row r="62" spans="1:6" x14ac:dyDescent="0.4">
      <c r="A62">
        <v>9</v>
      </c>
      <c r="B62">
        <v>11</v>
      </c>
      <c r="C62" s="13" t="s">
        <v>94</v>
      </c>
      <c r="D62" s="13" t="s">
        <v>102</v>
      </c>
      <c r="E62" s="13" t="s">
        <v>106</v>
      </c>
      <c r="F62">
        <v>0</v>
      </c>
    </row>
    <row r="63" spans="1:6" x14ac:dyDescent="0.4">
      <c r="A63">
        <v>9</v>
      </c>
      <c r="B63">
        <v>12</v>
      </c>
      <c r="C63" s="13" t="s">
        <v>94</v>
      </c>
      <c r="D63" s="13" t="s">
        <v>102</v>
      </c>
      <c r="E63" s="13" t="s">
        <v>107</v>
      </c>
      <c r="F63">
        <v>0</v>
      </c>
    </row>
    <row r="64" spans="1:6" x14ac:dyDescent="0.4">
      <c r="A64">
        <v>9</v>
      </c>
      <c r="B64">
        <v>13</v>
      </c>
      <c r="C64" s="13" t="s">
        <v>94</v>
      </c>
      <c r="D64" s="13" t="s">
        <v>102</v>
      </c>
      <c r="E64" s="13" t="s">
        <v>108</v>
      </c>
      <c r="F64">
        <v>0</v>
      </c>
    </row>
    <row r="65" spans="1:6" x14ac:dyDescent="0.4">
      <c r="A65">
        <v>9</v>
      </c>
      <c r="B65">
        <v>14</v>
      </c>
      <c r="C65" s="13" t="s">
        <v>94</v>
      </c>
      <c r="D65" s="13" t="s">
        <v>109</v>
      </c>
      <c r="E65" s="13" t="s">
        <v>25</v>
      </c>
      <c r="F65">
        <v>0</v>
      </c>
    </row>
    <row r="66" spans="1:6" x14ac:dyDescent="0.4">
      <c r="A66">
        <v>9</v>
      </c>
      <c r="B66">
        <v>15</v>
      </c>
      <c r="C66" s="13" t="s">
        <v>94</v>
      </c>
      <c r="D66" s="13" t="s">
        <v>110</v>
      </c>
      <c r="E66" s="13" t="s">
        <v>25</v>
      </c>
      <c r="F66">
        <v>0</v>
      </c>
    </row>
    <row r="67" spans="1:6" x14ac:dyDescent="0.4">
      <c r="A67">
        <v>10</v>
      </c>
      <c r="B67">
        <v>1</v>
      </c>
      <c r="C67" s="13" t="s">
        <v>111</v>
      </c>
      <c r="D67" s="13" t="s">
        <v>112</v>
      </c>
      <c r="E67" s="13" t="s">
        <v>25</v>
      </c>
      <c r="F67">
        <v>0</v>
      </c>
    </row>
    <row r="68" spans="1:6" x14ac:dyDescent="0.4">
      <c r="A68">
        <v>10</v>
      </c>
      <c r="B68">
        <v>2</v>
      </c>
      <c r="C68" s="13" t="s">
        <v>111</v>
      </c>
      <c r="D68" s="13" t="s">
        <v>113</v>
      </c>
      <c r="E68" s="13" t="s">
        <v>25</v>
      </c>
      <c r="F68">
        <v>0</v>
      </c>
    </row>
    <row r="69" spans="1:6" x14ac:dyDescent="0.4">
      <c r="A69">
        <v>10</v>
      </c>
      <c r="B69">
        <v>3</v>
      </c>
      <c r="C69" s="13" t="s">
        <v>111</v>
      </c>
      <c r="D69" s="13" t="s">
        <v>114</v>
      </c>
      <c r="E69" s="13" t="s">
        <v>25</v>
      </c>
      <c r="F69">
        <v>0</v>
      </c>
    </row>
    <row r="70" spans="1:6" x14ac:dyDescent="0.4">
      <c r="A70">
        <v>10</v>
      </c>
      <c r="B70">
        <v>4</v>
      </c>
      <c r="C70" s="13" t="s">
        <v>111</v>
      </c>
      <c r="D70" s="13" t="s">
        <v>115</v>
      </c>
      <c r="E70" s="13" t="s">
        <v>25</v>
      </c>
      <c r="F70">
        <v>0</v>
      </c>
    </row>
    <row r="71" spans="1:6" x14ac:dyDescent="0.4">
      <c r="A71">
        <v>11</v>
      </c>
      <c r="B71">
        <v>1</v>
      </c>
      <c r="C71" s="13" t="s">
        <v>116</v>
      </c>
      <c r="D71" s="13" t="s">
        <v>117</v>
      </c>
      <c r="E71" s="13" t="s">
        <v>118</v>
      </c>
      <c r="F71">
        <v>0</v>
      </c>
    </row>
    <row r="72" spans="1:6" x14ac:dyDescent="0.4">
      <c r="A72">
        <v>11</v>
      </c>
      <c r="B72">
        <v>2</v>
      </c>
      <c r="C72" s="13" t="s">
        <v>116</v>
      </c>
      <c r="D72" s="13" t="s">
        <v>117</v>
      </c>
      <c r="E72" s="13" t="s">
        <v>119</v>
      </c>
      <c r="F72">
        <v>0</v>
      </c>
    </row>
    <row r="73" spans="1:6" x14ac:dyDescent="0.4">
      <c r="A73">
        <v>11</v>
      </c>
      <c r="B73">
        <v>3</v>
      </c>
      <c r="C73" s="13" t="s">
        <v>116</v>
      </c>
      <c r="D73" s="13" t="s">
        <v>120</v>
      </c>
      <c r="E73" s="13" t="s">
        <v>25</v>
      </c>
      <c r="F73">
        <v>0</v>
      </c>
    </row>
    <row r="74" spans="1:6" x14ac:dyDescent="0.4">
      <c r="A74">
        <v>11</v>
      </c>
      <c r="B74">
        <v>4</v>
      </c>
      <c r="C74" s="13" t="s">
        <v>116</v>
      </c>
      <c r="D74" s="13" t="s">
        <v>121</v>
      </c>
      <c r="E74" s="13" t="s">
        <v>25</v>
      </c>
      <c r="F74">
        <v>0</v>
      </c>
    </row>
    <row r="75" spans="1:6" x14ac:dyDescent="0.4">
      <c r="A75">
        <v>11</v>
      </c>
      <c r="B75">
        <v>5</v>
      </c>
      <c r="C75" s="13" t="s">
        <v>116</v>
      </c>
      <c r="D75" s="13" t="s">
        <v>122</v>
      </c>
      <c r="E75" s="13" t="s">
        <v>25</v>
      </c>
      <c r="F75">
        <v>0</v>
      </c>
    </row>
    <row r="76" spans="1:6" x14ac:dyDescent="0.4">
      <c r="A76">
        <v>11</v>
      </c>
      <c r="B76">
        <v>6</v>
      </c>
      <c r="C76" s="13" t="s">
        <v>116</v>
      </c>
      <c r="D76" s="13" t="s">
        <v>123</v>
      </c>
      <c r="E76" s="13" t="s">
        <v>25</v>
      </c>
      <c r="F76">
        <v>0</v>
      </c>
    </row>
    <row r="77" spans="1:6" x14ac:dyDescent="0.4">
      <c r="A77">
        <v>11</v>
      </c>
      <c r="B77">
        <v>7</v>
      </c>
      <c r="C77" s="13" t="s">
        <v>116</v>
      </c>
      <c r="D77" s="13" t="s">
        <v>124</v>
      </c>
      <c r="E77" s="13" t="s">
        <v>25</v>
      </c>
      <c r="F77">
        <v>0</v>
      </c>
    </row>
    <row r="78" spans="1:6" x14ac:dyDescent="0.4">
      <c r="A78">
        <v>12</v>
      </c>
      <c r="B78">
        <v>1</v>
      </c>
      <c r="C78" s="13" t="s">
        <v>125</v>
      </c>
      <c r="D78" s="13" t="s">
        <v>126</v>
      </c>
      <c r="E78" s="13" t="s">
        <v>25</v>
      </c>
      <c r="F78">
        <v>0</v>
      </c>
    </row>
    <row r="79" spans="1:6" x14ac:dyDescent="0.4">
      <c r="A79">
        <v>12</v>
      </c>
      <c r="B79">
        <v>2</v>
      </c>
      <c r="C79" s="13" t="s">
        <v>125</v>
      </c>
      <c r="D79" s="13" t="s">
        <v>127</v>
      </c>
      <c r="E79" s="13" t="s">
        <v>25</v>
      </c>
      <c r="F79">
        <v>0</v>
      </c>
    </row>
    <row r="80" spans="1:6" x14ac:dyDescent="0.4">
      <c r="A80">
        <v>12</v>
      </c>
      <c r="B80">
        <v>3</v>
      </c>
      <c r="C80" s="13" t="s">
        <v>125</v>
      </c>
      <c r="D80" s="13" t="s">
        <v>128</v>
      </c>
      <c r="E80" s="13" t="s">
        <v>25</v>
      </c>
      <c r="F80">
        <v>0</v>
      </c>
    </row>
    <row r="81" spans="1:6" x14ac:dyDescent="0.4">
      <c r="A81">
        <v>12</v>
      </c>
      <c r="B81">
        <v>4</v>
      </c>
      <c r="C81" s="13" t="s">
        <v>125</v>
      </c>
      <c r="D81" s="13" t="s">
        <v>129</v>
      </c>
      <c r="E81" s="13" t="s">
        <v>25</v>
      </c>
      <c r="F81">
        <v>0</v>
      </c>
    </row>
    <row r="82" spans="1:6" x14ac:dyDescent="0.4">
      <c r="A82">
        <v>12</v>
      </c>
      <c r="B82">
        <v>5</v>
      </c>
      <c r="C82" s="13" t="s">
        <v>125</v>
      </c>
      <c r="D82" s="13" t="s">
        <v>130</v>
      </c>
      <c r="E82" s="13" t="s">
        <v>25</v>
      </c>
      <c r="F82">
        <v>0</v>
      </c>
    </row>
    <row r="83" spans="1:6" x14ac:dyDescent="0.4">
      <c r="A83">
        <v>12</v>
      </c>
      <c r="B83">
        <v>6</v>
      </c>
      <c r="C83" s="13" t="s">
        <v>125</v>
      </c>
      <c r="D83" s="13" t="s">
        <v>131</v>
      </c>
      <c r="E83" s="13" t="s">
        <v>25</v>
      </c>
      <c r="F83">
        <v>0</v>
      </c>
    </row>
    <row r="84" spans="1:6" x14ac:dyDescent="0.4">
      <c r="A84">
        <v>12</v>
      </c>
      <c r="B84">
        <v>7</v>
      </c>
      <c r="C84" s="13" t="s">
        <v>125</v>
      </c>
      <c r="D84" s="13" t="s">
        <v>132</v>
      </c>
      <c r="E84" s="13" t="s">
        <v>25</v>
      </c>
      <c r="F84">
        <v>0</v>
      </c>
    </row>
    <row r="85" spans="1:6" x14ac:dyDescent="0.4">
      <c r="A85">
        <v>13</v>
      </c>
      <c r="B85">
        <v>1</v>
      </c>
      <c r="C85" s="13" t="s">
        <v>133</v>
      </c>
      <c r="D85" s="13" t="s">
        <v>134</v>
      </c>
      <c r="E85" s="13" t="s">
        <v>25</v>
      </c>
      <c r="F85">
        <v>0</v>
      </c>
    </row>
    <row r="86" spans="1:6" x14ac:dyDescent="0.4">
      <c r="A86">
        <v>13</v>
      </c>
      <c r="B86">
        <v>2</v>
      </c>
      <c r="C86" s="13" t="s">
        <v>133</v>
      </c>
      <c r="D86" s="13" t="s">
        <v>135</v>
      </c>
      <c r="E86" s="13" t="s">
        <v>25</v>
      </c>
      <c r="F86">
        <v>0</v>
      </c>
    </row>
    <row r="87" spans="1:6" x14ac:dyDescent="0.4">
      <c r="A87">
        <v>13</v>
      </c>
      <c r="B87">
        <v>3</v>
      </c>
      <c r="C87" s="13" t="s">
        <v>133</v>
      </c>
      <c r="D87" s="13" t="s">
        <v>136</v>
      </c>
      <c r="E87" s="13" t="s">
        <v>25</v>
      </c>
      <c r="F87">
        <v>0</v>
      </c>
    </row>
    <row r="88" spans="1:6" x14ac:dyDescent="0.4">
      <c r="A88">
        <v>13</v>
      </c>
      <c r="B88">
        <v>4</v>
      </c>
      <c r="C88" s="13" t="s">
        <v>133</v>
      </c>
      <c r="D88" s="13" t="s">
        <v>137</v>
      </c>
      <c r="E88" s="13" t="s">
        <v>25</v>
      </c>
      <c r="F88">
        <v>0</v>
      </c>
    </row>
    <row r="89" spans="1:6" x14ac:dyDescent="0.4">
      <c r="A89">
        <v>13</v>
      </c>
      <c r="B89">
        <v>5</v>
      </c>
      <c r="C89" s="13" t="s">
        <v>133</v>
      </c>
      <c r="D89" s="13" t="s">
        <v>138</v>
      </c>
      <c r="E89" s="13" t="s">
        <v>25</v>
      </c>
      <c r="F89">
        <v>0</v>
      </c>
    </row>
    <row r="90" spans="1:6" x14ac:dyDescent="0.4">
      <c r="A90">
        <v>14</v>
      </c>
      <c r="B90">
        <v>1</v>
      </c>
      <c r="C90" s="13" t="s">
        <v>139</v>
      </c>
      <c r="D90" s="13" t="s">
        <v>140</v>
      </c>
      <c r="E90" s="13" t="s">
        <v>25</v>
      </c>
      <c r="F90">
        <v>0</v>
      </c>
    </row>
    <row r="91" spans="1:6" x14ac:dyDescent="0.4">
      <c r="A91" s="15">
        <v>14</v>
      </c>
      <c r="B91" s="15">
        <v>2</v>
      </c>
      <c r="C91" s="16" t="s">
        <v>139</v>
      </c>
      <c r="D91" s="16" t="s">
        <v>141</v>
      </c>
      <c r="E91" s="16" t="s">
        <v>25</v>
      </c>
      <c r="F91" s="13">
        <v>2</v>
      </c>
    </row>
    <row r="92" spans="1:6" x14ac:dyDescent="0.4">
      <c r="A92" s="15">
        <v>14</v>
      </c>
      <c r="B92" s="15">
        <v>3</v>
      </c>
      <c r="C92" s="16" t="s">
        <v>139</v>
      </c>
      <c r="D92" s="16" t="s">
        <v>142</v>
      </c>
      <c r="E92" s="16" t="s">
        <v>25</v>
      </c>
      <c r="F92" s="13">
        <v>2</v>
      </c>
    </row>
    <row r="93" spans="1:6" x14ac:dyDescent="0.4">
      <c r="A93" s="15">
        <v>14</v>
      </c>
      <c r="B93" s="15">
        <v>4</v>
      </c>
      <c r="C93" s="16" t="s">
        <v>139</v>
      </c>
      <c r="D93" s="16" t="s">
        <v>143</v>
      </c>
      <c r="E93" s="16" t="s">
        <v>25</v>
      </c>
      <c r="F93" s="13">
        <v>2</v>
      </c>
    </row>
    <row r="94" spans="1:6" x14ac:dyDescent="0.4">
      <c r="A94" s="15">
        <v>14</v>
      </c>
      <c r="B94" s="15">
        <v>5</v>
      </c>
      <c r="C94" s="16" t="s">
        <v>139</v>
      </c>
      <c r="D94" s="16" t="s">
        <v>144</v>
      </c>
      <c r="E94" s="16" t="s">
        <v>25</v>
      </c>
      <c r="F94" s="13">
        <v>3</v>
      </c>
    </row>
    <row r="95" spans="1:6" x14ac:dyDescent="0.4">
      <c r="A95" s="15">
        <v>14</v>
      </c>
      <c r="B95" s="15">
        <v>6</v>
      </c>
      <c r="C95" s="16" t="s">
        <v>139</v>
      </c>
      <c r="D95" s="16" t="s">
        <v>145</v>
      </c>
      <c r="E95" s="16" t="s">
        <v>25</v>
      </c>
      <c r="F95" s="13">
        <v>1</v>
      </c>
    </row>
    <row r="96" spans="1:6" x14ac:dyDescent="0.4">
      <c r="A96" s="15">
        <v>15</v>
      </c>
      <c r="B96" s="15">
        <v>1</v>
      </c>
      <c r="C96" s="16" t="s">
        <v>146</v>
      </c>
      <c r="D96" s="16" t="s">
        <v>147</v>
      </c>
      <c r="E96" s="16" t="s">
        <v>25</v>
      </c>
      <c r="F96" s="13">
        <v>2</v>
      </c>
    </row>
    <row r="97" spans="1:6" x14ac:dyDescent="0.4">
      <c r="A97" s="15">
        <v>15</v>
      </c>
      <c r="B97" s="15">
        <v>2</v>
      </c>
      <c r="C97" s="16" t="s">
        <v>146</v>
      </c>
      <c r="D97" s="16" t="s">
        <v>148</v>
      </c>
      <c r="E97" s="16" t="s">
        <v>25</v>
      </c>
      <c r="F97" s="13">
        <v>1</v>
      </c>
    </row>
    <row r="98" spans="1:6" x14ac:dyDescent="0.4">
      <c r="A98" s="15">
        <v>15</v>
      </c>
      <c r="B98" s="15">
        <v>3</v>
      </c>
      <c r="C98" s="16" t="s">
        <v>146</v>
      </c>
      <c r="D98" s="16" t="s">
        <v>149</v>
      </c>
      <c r="E98" s="16" t="s">
        <v>25</v>
      </c>
      <c r="F98" s="13">
        <v>2</v>
      </c>
    </row>
    <row r="99" spans="1:6" x14ac:dyDescent="0.4">
      <c r="A99" s="15">
        <v>15</v>
      </c>
      <c r="B99" s="15">
        <v>4</v>
      </c>
      <c r="C99" s="16" t="s">
        <v>146</v>
      </c>
      <c r="D99" s="16" t="s">
        <v>150</v>
      </c>
      <c r="E99" s="16" t="s">
        <v>25</v>
      </c>
      <c r="F99" s="13">
        <v>1</v>
      </c>
    </row>
    <row r="100" spans="1:6" x14ac:dyDescent="0.4">
      <c r="A100" s="15">
        <v>15</v>
      </c>
      <c r="B100" s="15">
        <v>5</v>
      </c>
      <c r="C100" s="16" t="s">
        <v>146</v>
      </c>
      <c r="D100" s="16" t="s">
        <v>151</v>
      </c>
      <c r="E100" s="16" t="s">
        <v>25</v>
      </c>
      <c r="F100" s="13">
        <v>3</v>
      </c>
    </row>
    <row r="101" spans="1:6" x14ac:dyDescent="0.4">
      <c r="A101" s="15">
        <v>15</v>
      </c>
      <c r="B101" s="15">
        <v>6</v>
      </c>
      <c r="C101" s="16" t="s">
        <v>146</v>
      </c>
      <c r="D101" s="16" t="s">
        <v>152</v>
      </c>
      <c r="E101" s="16" t="s">
        <v>25</v>
      </c>
      <c r="F101" s="13">
        <v>2</v>
      </c>
    </row>
    <row r="102" spans="1:6" x14ac:dyDescent="0.4">
      <c r="A102" s="15">
        <v>15</v>
      </c>
      <c r="B102" s="15">
        <v>7</v>
      </c>
      <c r="C102" s="16" t="s">
        <v>146</v>
      </c>
      <c r="D102" s="16" t="s">
        <v>153</v>
      </c>
      <c r="E102" s="16" t="s">
        <v>25</v>
      </c>
      <c r="F102" s="13">
        <v>2</v>
      </c>
    </row>
    <row r="103" spans="1:6" x14ac:dyDescent="0.4">
      <c r="A103" s="15">
        <v>15</v>
      </c>
      <c r="B103" s="15">
        <v>8</v>
      </c>
      <c r="C103" s="16" t="s">
        <v>146</v>
      </c>
      <c r="D103" s="16" t="s">
        <v>154</v>
      </c>
      <c r="E103" s="16" t="s">
        <v>25</v>
      </c>
      <c r="F103" s="13">
        <v>1</v>
      </c>
    </row>
    <row r="104" spans="1:6" x14ac:dyDescent="0.4">
      <c r="A104" s="15">
        <v>15</v>
      </c>
      <c r="B104" s="15">
        <v>9</v>
      </c>
      <c r="C104" s="16" t="s">
        <v>146</v>
      </c>
      <c r="D104" s="16" t="s">
        <v>155</v>
      </c>
      <c r="E104" s="16" t="s">
        <v>25</v>
      </c>
      <c r="F104" s="13">
        <v>2</v>
      </c>
    </row>
    <row r="105" spans="1:6" x14ac:dyDescent="0.4">
      <c r="A105" s="15">
        <v>15</v>
      </c>
      <c r="B105" s="15">
        <v>10</v>
      </c>
      <c r="C105" s="16" t="s">
        <v>146</v>
      </c>
      <c r="D105" s="16" t="s">
        <v>156</v>
      </c>
      <c r="E105" s="16" t="s">
        <v>25</v>
      </c>
      <c r="F105" s="13">
        <v>3</v>
      </c>
    </row>
    <row r="106" spans="1:6" x14ac:dyDescent="0.4">
      <c r="A106" s="15">
        <v>15</v>
      </c>
      <c r="B106" s="15">
        <v>11</v>
      </c>
      <c r="C106" s="16" t="s">
        <v>146</v>
      </c>
      <c r="D106" s="16" t="s">
        <v>157</v>
      </c>
      <c r="E106" s="16" t="s">
        <v>25</v>
      </c>
      <c r="F106" s="13">
        <v>1</v>
      </c>
    </row>
    <row r="107" spans="1:6" x14ac:dyDescent="0.4">
      <c r="A107" s="15">
        <v>15</v>
      </c>
      <c r="B107" s="15">
        <v>12</v>
      </c>
      <c r="C107" s="16" t="s">
        <v>146</v>
      </c>
      <c r="D107" s="16" t="s">
        <v>158</v>
      </c>
      <c r="E107" s="16" t="s">
        <v>25</v>
      </c>
      <c r="F107" s="13">
        <v>2</v>
      </c>
    </row>
    <row r="108" spans="1:6" x14ac:dyDescent="0.4">
      <c r="A108" s="15">
        <v>15</v>
      </c>
      <c r="B108" s="15">
        <v>13</v>
      </c>
      <c r="C108" s="16" t="s">
        <v>146</v>
      </c>
      <c r="D108" s="16" t="s">
        <v>159</v>
      </c>
      <c r="E108" s="16" t="s">
        <v>25</v>
      </c>
      <c r="F108" s="13">
        <v>1</v>
      </c>
    </row>
    <row r="109" spans="1:6" x14ac:dyDescent="0.4">
      <c r="A109">
        <v>16</v>
      </c>
      <c r="B109">
        <v>1</v>
      </c>
      <c r="C109" s="13" t="s">
        <v>160</v>
      </c>
      <c r="D109" s="13" t="s">
        <v>25</v>
      </c>
      <c r="E109" s="13" t="s">
        <v>25</v>
      </c>
      <c r="F109">
        <v>1</v>
      </c>
    </row>
    <row r="110" spans="1:6" x14ac:dyDescent="0.4">
      <c r="A110">
        <v>17</v>
      </c>
      <c r="B110">
        <v>1</v>
      </c>
      <c r="C110" s="13" t="s">
        <v>161</v>
      </c>
      <c r="D110" s="13" t="s">
        <v>25</v>
      </c>
      <c r="E110" s="13" t="s">
        <v>25</v>
      </c>
      <c r="F110">
        <v>0</v>
      </c>
    </row>
    <row r="111" spans="1:6" x14ac:dyDescent="0.4">
      <c r="A111">
        <v>18</v>
      </c>
      <c r="B111">
        <v>1</v>
      </c>
      <c r="C111" s="13" t="s">
        <v>162</v>
      </c>
      <c r="D111" s="13" t="s">
        <v>25</v>
      </c>
      <c r="E111" s="13" t="s">
        <v>25</v>
      </c>
      <c r="F1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EA4A-2460-4D41-A208-D4C0A1C8BDAF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Sensitivity_v1_original</vt:lpstr>
      <vt:lpstr>Sensitivity_v2_poolall</vt:lpstr>
      <vt:lpstr>Sensitivity_simple</vt:lpstr>
      <vt:lpstr>Habitat-IUCN</vt:lpstr>
      <vt:lpstr>Threat-IUCN</vt:lpstr>
    </vt:vector>
  </TitlesOfParts>
  <Company>DEW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Eryn Chang</dc:creator>
  <cp:lastModifiedBy>Eryn Chang</cp:lastModifiedBy>
  <dcterms:created xsi:type="dcterms:W3CDTF">2026-01-19T03:32:03Z</dcterms:created>
  <dcterms:modified xsi:type="dcterms:W3CDTF">2026-02-06T01:21:49Z</dcterms:modified>
</cp:coreProperties>
</file>